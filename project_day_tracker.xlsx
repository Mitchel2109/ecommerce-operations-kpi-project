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210ae7fbd0021b7/CVs/Project/"/>
    </mc:Choice>
  </mc:AlternateContent>
  <xr:revisionPtr revIDLastSave="0" documentId="8_{0EFE3BC5-529E-478F-AF14-F0795EAFA0F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acker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1" l="1"/>
  <c r="D53" i="1"/>
  <c r="C53" i="1"/>
  <c r="E52" i="1"/>
  <c r="C52" i="1"/>
  <c r="D52" i="1" s="1"/>
  <c r="E51" i="1"/>
  <c r="D51" i="1"/>
  <c r="C51" i="1"/>
  <c r="E50" i="1"/>
  <c r="D50" i="1"/>
  <c r="C50" i="1"/>
  <c r="E49" i="1"/>
  <c r="D49" i="1"/>
  <c r="C49" i="1"/>
  <c r="H44" i="1"/>
  <c r="G44" i="1"/>
  <c r="C44" i="1"/>
  <c r="B44" i="1"/>
  <c r="H43" i="1"/>
  <c r="G43" i="1"/>
  <c r="C43" i="1"/>
  <c r="B43" i="1"/>
  <c r="H42" i="1"/>
  <c r="G42" i="1"/>
  <c r="C42" i="1"/>
  <c r="B42" i="1"/>
  <c r="H41" i="1"/>
  <c r="G41" i="1"/>
  <c r="C41" i="1"/>
  <c r="B41" i="1"/>
  <c r="H40" i="1"/>
  <c r="G40" i="1"/>
  <c r="C40" i="1"/>
  <c r="B40" i="1"/>
  <c r="H39" i="1"/>
  <c r="G39" i="1"/>
  <c r="C39" i="1"/>
  <c r="B39" i="1"/>
  <c r="H38" i="1"/>
  <c r="G38" i="1"/>
  <c r="C38" i="1"/>
  <c r="B38" i="1"/>
  <c r="H37" i="1"/>
  <c r="G37" i="1"/>
  <c r="C37" i="1"/>
  <c r="B37" i="1"/>
  <c r="H36" i="1"/>
  <c r="G36" i="1"/>
  <c r="C36" i="1"/>
  <c r="B36" i="1"/>
  <c r="H35" i="1"/>
  <c r="G35" i="1"/>
  <c r="C35" i="1"/>
  <c r="B35" i="1"/>
  <c r="H34" i="1"/>
  <c r="G34" i="1"/>
  <c r="C34" i="1"/>
  <c r="B34" i="1"/>
  <c r="H33" i="1"/>
  <c r="G33" i="1"/>
  <c r="C33" i="1"/>
  <c r="B33" i="1"/>
  <c r="H32" i="1"/>
  <c r="G32" i="1"/>
  <c r="C32" i="1"/>
  <c r="B32" i="1"/>
  <c r="H31" i="1"/>
  <c r="G31" i="1"/>
  <c r="C31" i="1"/>
  <c r="B31" i="1"/>
  <c r="H30" i="1"/>
  <c r="G30" i="1"/>
  <c r="C30" i="1"/>
  <c r="B30" i="1"/>
  <c r="H29" i="1"/>
  <c r="G29" i="1"/>
  <c r="C29" i="1"/>
  <c r="B29" i="1"/>
  <c r="H28" i="1"/>
  <c r="G28" i="1"/>
  <c r="C28" i="1"/>
  <c r="B28" i="1"/>
  <c r="H27" i="1"/>
  <c r="G27" i="1"/>
  <c r="C27" i="1"/>
  <c r="B27" i="1"/>
  <c r="H26" i="1"/>
  <c r="G26" i="1"/>
  <c r="C26" i="1"/>
  <c r="B26" i="1"/>
  <c r="H25" i="1"/>
  <c r="G25" i="1"/>
  <c r="C25" i="1"/>
  <c r="B25" i="1"/>
  <c r="H24" i="1"/>
  <c r="G24" i="1"/>
  <c r="C24" i="1"/>
  <c r="B24" i="1"/>
  <c r="H23" i="1"/>
  <c r="G23" i="1"/>
  <c r="C23" i="1"/>
  <c r="B23" i="1"/>
  <c r="H22" i="1"/>
  <c r="G22" i="1"/>
  <c r="C22" i="1"/>
  <c r="B22" i="1"/>
  <c r="H21" i="1"/>
  <c r="G21" i="1"/>
  <c r="C21" i="1"/>
  <c r="B21" i="1"/>
  <c r="H20" i="1"/>
  <c r="G20" i="1"/>
  <c r="C20" i="1"/>
  <c r="B20" i="1"/>
  <c r="H19" i="1"/>
  <c r="G19" i="1"/>
  <c r="C19" i="1"/>
  <c r="B19" i="1"/>
  <c r="H18" i="1"/>
  <c r="G18" i="1"/>
  <c r="C18" i="1"/>
  <c r="B18" i="1"/>
  <c r="H17" i="1"/>
  <c r="G17" i="1"/>
  <c r="C17" i="1"/>
  <c r="B17" i="1"/>
  <c r="H16" i="1"/>
  <c r="G16" i="1"/>
  <c r="C16" i="1"/>
  <c r="B16" i="1"/>
  <c r="H15" i="1"/>
  <c r="G15" i="1"/>
  <c r="C15" i="1"/>
  <c r="B15" i="1"/>
  <c r="H14" i="1"/>
  <c r="G14" i="1"/>
  <c r="C14" i="1"/>
  <c r="B14" i="1"/>
  <c r="H13" i="1"/>
  <c r="G13" i="1"/>
  <c r="C13" i="1"/>
  <c r="B13" i="1"/>
  <c r="H12" i="1"/>
  <c r="G12" i="1"/>
  <c r="C12" i="1"/>
  <c r="B12" i="1"/>
  <c r="H11" i="1"/>
  <c r="G11" i="1"/>
  <c r="C11" i="1"/>
  <c r="B11" i="1"/>
  <c r="H10" i="1"/>
  <c r="G10" i="1"/>
  <c r="C10" i="1"/>
  <c r="B10" i="1"/>
  <c r="F5" i="1"/>
  <c r="F4" i="1"/>
  <c r="F3" i="1"/>
  <c r="I2" i="1"/>
  <c r="F2" i="1"/>
</calcChain>
</file>

<file path=xl/sharedStrings.xml><?xml version="1.0" encoding="utf-8"?>
<sst xmlns="http://schemas.openxmlformats.org/spreadsheetml/2006/main" count="108" uniqueCount="70">
  <si>
    <t>30-Minute-Per-Day Project Logger &amp; Tracker</t>
  </si>
  <si>
    <t>Project Name</t>
  </si>
  <si>
    <t>Ecommerce Operations KPI Project</t>
  </si>
  <si>
    <t>Completed Days</t>
  </si>
  <si>
    <t>Progress Bar</t>
  </si>
  <si>
    <t>Start Date</t>
  </si>
  <si>
    <t>05/04/2026</t>
  </si>
  <si>
    <t>Completion %</t>
  </si>
  <si>
    <t>Planned Daily Minutes</t>
  </si>
  <si>
    <t>Total Time Logged (mins)</t>
  </si>
  <si>
    <t>Planned Days</t>
  </si>
  <si>
    <t>Days Remaining</t>
  </si>
  <si>
    <t>Update Status, Time Spent, Notes, and Key Output each day. Planned Date auto-fills from the Start Date.</t>
  </si>
  <si>
    <t>Day #</t>
  </si>
  <si>
    <t>Planned Date</t>
  </si>
  <si>
    <t>Week</t>
  </si>
  <si>
    <t>Planned Focus</t>
  </si>
  <si>
    <t>Status</t>
  </si>
  <si>
    <t>Time Spent (mins)</t>
  </si>
  <si>
    <t>Started?</t>
  </si>
  <si>
    <t>Done?</t>
  </si>
  <si>
    <t>Notes</t>
  </si>
  <si>
    <t>Key Output</t>
  </si>
  <si>
    <t>Create folder structure, README.md, requirements.txt, and GitHub repo</t>
  </si>
  <si>
    <t>Not Started</t>
  </si>
  <si>
    <t>Download dataset and place it in /data; inspect file manually</t>
  </si>
  <si>
    <t>Open dataset in Python and print shape, columns, and first rows</t>
  </si>
  <si>
    <t>Check missing values, data types, cancellations, and negative quantities</t>
  </si>
  <si>
    <t>Define KPI list and business goal in README</t>
  </si>
  <si>
    <t>Start clean_data.py: load file, parse dates, create Revenue column</t>
  </si>
  <si>
    <t>Save first cleaned output and commit changes</t>
  </si>
  <si>
    <t>Identify cancelled orders and choose handling rule</t>
  </si>
  <si>
    <t>Handle invalid rows: prices, quantities, key missing fields</t>
  </si>
  <si>
    <t>Create month and year_month fields</t>
  </si>
  <si>
    <t>Check duplicates and comment code clearly</t>
  </si>
  <si>
    <t>Save cleaned CSV and document cleaning rules</t>
  </si>
  <si>
    <t>Re-run cleaning script from scratch and fix issues</t>
  </si>
  <si>
    <t>Push cleaned workflow to GitHub and update README</t>
  </si>
  <si>
    <t>Choose SQL setup and create database/table</t>
  </si>
  <si>
    <t>Load cleaned data into SQL and verify row count</t>
  </si>
  <si>
    <t>Write SQL query for total revenue and total orders</t>
  </si>
  <si>
    <t>Write SQL query for average order value and monthly revenue</t>
  </si>
  <si>
    <t>Write SQL query for top countries and top products</t>
  </si>
  <si>
    <t>Write SQL query for cancellations/returns analysis</t>
  </si>
  <si>
    <t>Test and tidy all SQL queries with comments</t>
  </si>
  <si>
    <t>Run KPI queries and collect outputs</t>
  </si>
  <si>
    <t>Choose 5–8 findings and draft analysis summary</t>
  </si>
  <si>
    <t>Create 1–2 simple charts in Python</t>
  </si>
  <si>
    <t>Save charts to docs/reports and reference them in README</t>
  </si>
  <si>
    <t>Write final_summary.md with findings and recommendations</t>
  </si>
  <si>
    <t>Improve README structure and repo walkthrough</t>
  </si>
  <si>
    <t>Review repo from recruiter perspective and tidy presentation</t>
  </si>
  <si>
    <t>Draft 3 CV bullet points from the project</t>
  </si>
  <si>
    <t>Write 30-second interview explanation of the project</t>
  </si>
  <si>
    <t>Write 60-second explanation covering dataset, cleaning, and insights</t>
  </si>
  <si>
    <t>Refactor Python code and clean filenames/folders</t>
  </si>
  <si>
    <t>Refine SQL naming and professionalism</t>
  </si>
  <si>
    <t>Add realistic future improvements section to README</t>
  </si>
  <si>
    <t>Final review: publish repo and add link to CV/LinkedIn draft</t>
  </si>
  <si>
    <t>Weekly Summary</t>
  </si>
  <si>
    <t>Minutes Logged</t>
  </si>
  <si>
    <t>Comment</t>
  </si>
  <si>
    <t>How to use this tracker</t>
  </si>
  <si>
    <t>1. Edit the blue input cells on the Tracker sheet: Project Name, Start Date, Planned Daily Minutes, Planned Days.</t>
  </si>
  <si>
    <t>2. Each day, update Status, Time Spent (mins), Notes, and Key Output.</t>
  </si>
  <si>
    <t>3. Keep the planned focus unless you intentionally change the day's task.</t>
  </si>
  <si>
    <t>4. Status options: Not Started, In Progress, Completed, Blocked.</t>
  </si>
  <si>
    <t>5. Summary metrics at the top update automatically.</t>
  </si>
  <si>
    <t>6. Use the Weekly Summary section to review consistency and bottlenecks.</t>
  </si>
  <si>
    <t>7. Recommended habit: at the end of each session, write one note on what to do next tomorrow.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</si>
</sst>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sz val="11"/>
      <color rgb="FF0000FF"/>
      <name val="Calibri"/>
    </font>
    <font>
      <b/>
      <sz val="11"/>
      <color rgb="FF000000"/>
      <name val="Calibri"/>
    </font>
    <font>
      <i/>
      <sz val="11"/>
      <name val="Calibri"/>
    </font>
    <font>
      <b/>
      <sz val="11"/>
      <color rgb="FF0F766E"/>
      <name val="Calibri"/>
    </font>
    <font>
      <b/>
      <sz val="11"/>
      <color rgb="FFFFFFFF"/>
      <name val="Calibri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EDE7F6"/>
      </patternFill>
    </fill>
    <fill>
      <patternFill patternType="solid">
        <fgColor rgb="FFF3F9FF"/>
      </patternFill>
    </fill>
    <fill>
      <patternFill patternType="solid">
        <fgColor rgb="FFCCFBF1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1" applyFill="1"/>
    <xf numFmtId="0" fontId="3" fillId="5" borderId="0" xfId="0" applyFont="1" applyFill="1"/>
    <xf numFmtId="0" fontId="2" fillId="4" borderId="0" xfId="0" applyFont="1" applyFill="1"/>
    <xf numFmtId="0" fontId="4" fillId="6" borderId="0" xfId="0" applyFont="1" applyFill="1"/>
    <xf numFmtId="14" fontId="3" fillId="5" borderId="0" xfId="0" applyNumberFormat="1" applyFont="1" applyFill="1"/>
    <xf numFmtId="164" fontId="4" fillId="6" borderId="0" xfId="0" applyNumberFormat="1" applyFont="1" applyFill="1"/>
    <xf numFmtId="0" fontId="2" fillId="8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center"/>
    </xf>
    <xf numFmtId="0" fontId="2" fillId="8" borderId="0" xfId="0" applyFont="1" applyFill="1"/>
    <xf numFmtId="164" fontId="0" fillId="0" borderId="0" xfId="0" applyNumberFormat="1"/>
    <xf numFmtId="0" fontId="7" fillId="2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5" fillId="7" borderId="0" xfId="0" applyFont="1" applyFill="1" applyAlignment="1">
      <alignment wrapText="1"/>
    </xf>
    <xf numFmtId="0" fontId="6" fillId="6" borderId="0" xfId="0" applyFont="1" applyFill="1" applyAlignment="1">
      <alignment horizontal="left"/>
    </xf>
    <xf numFmtId="0" fontId="7" fillId="2" borderId="0" xfId="0" applyFont="1" applyFill="1"/>
  </cellXfs>
  <cellStyles count="1">
    <cellStyle name="Normal" xfId="0" builtinId="0"/>
  </cellStyles>
  <dxfs count="4">
    <dxf>
      <fill>
        <patternFill patternType="solid">
          <fgColor rgb="FFE2F0D9"/>
        </patternFill>
      </fill>
    </dxf>
    <dxf>
      <fill>
        <patternFill patternType="solid">
          <fgColor rgb="FFFDE9E7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zoomScale="78" zoomScaleNormal="78" workbookViewId="0">
      <pane ySplit="9" topLeftCell="A10" activePane="bottomLeft" state="frozen"/>
      <selection pane="bottomLeft"/>
    </sheetView>
  </sheetViews>
  <sheetFormatPr defaultRowHeight="14.5" x14ac:dyDescent="0.35"/>
  <cols>
    <col min="1" max="1" width="8" customWidth="1"/>
    <col min="2" max="2" width="13" customWidth="1"/>
    <col min="3" max="3" width="8" customWidth="1"/>
    <col min="4" max="4" width="34" customWidth="1"/>
    <col min="5" max="6" width="16" customWidth="1"/>
    <col min="7" max="8" width="11" customWidth="1"/>
    <col min="9" max="9" width="40" customWidth="1"/>
    <col min="10" max="10" width="28" customWidth="1"/>
  </cols>
  <sheetData>
    <row r="1" spans="1:10" ht="18.5" x14ac:dyDescent="0.4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35">
      <c r="A2" s="1" t="s">
        <v>1</v>
      </c>
      <c r="B2" s="2" t="s">
        <v>2</v>
      </c>
      <c r="E2" s="3" t="s">
        <v>3</v>
      </c>
      <c r="F2" s="4">
        <f>COUNTIF(E10:E44,"Completed")</f>
        <v>0</v>
      </c>
      <c r="H2" s="3" t="s">
        <v>4</v>
      </c>
      <c r="I2" s="19" t="str">
        <f>REPT("█",ROUND(F3*20,0))&amp;REPT("░",20-ROUND(F3*20,0))</f>
        <v>░░░░░░░░░░░░░░░░░░░░</v>
      </c>
      <c r="J2" s="17"/>
    </row>
    <row r="3" spans="1:10" x14ac:dyDescent="0.35">
      <c r="A3" s="1" t="s">
        <v>5</v>
      </c>
      <c r="B3" s="5" t="s">
        <v>6</v>
      </c>
      <c r="E3" s="3" t="s">
        <v>7</v>
      </c>
      <c r="F3" s="6">
        <f>IF(B5=0,0,F2/B5)</f>
        <v>0</v>
      </c>
    </row>
    <row r="4" spans="1:10" x14ac:dyDescent="0.35">
      <c r="A4" s="1" t="s">
        <v>8</v>
      </c>
      <c r="B4" s="2">
        <v>30</v>
      </c>
      <c r="E4" s="3" t="s">
        <v>9</v>
      </c>
      <c r="F4" s="4">
        <f>SUM(F10:F44)</f>
        <v>0</v>
      </c>
    </row>
    <row r="5" spans="1:10" x14ac:dyDescent="0.35">
      <c r="A5" s="1" t="s">
        <v>10</v>
      </c>
      <c r="B5" s="2">
        <v>35</v>
      </c>
      <c r="E5" s="3" t="s">
        <v>11</v>
      </c>
      <c r="F5" s="4">
        <f>MAX(B5-F2,0)</f>
        <v>35</v>
      </c>
    </row>
    <row r="7" spans="1:10" x14ac:dyDescent="0.35">
      <c r="A7" s="18" t="s">
        <v>12</v>
      </c>
      <c r="B7" s="17"/>
      <c r="C7" s="17"/>
      <c r="D7" s="17"/>
      <c r="E7" s="17"/>
      <c r="F7" s="17"/>
      <c r="G7" s="17"/>
      <c r="H7" s="17"/>
      <c r="I7" s="17"/>
      <c r="J7" s="17"/>
    </row>
    <row r="9" spans="1:10" x14ac:dyDescent="0.35">
      <c r="A9" s="7" t="s">
        <v>13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18</v>
      </c>
      <c r="G9" s="7" t="s">
        <v>19</v>
      </c>
      <c r="H9" s="7" t="s">
        <v>20</v>
      </c>
      <c r="I9" s="7" t="s">
        <v>21</v>
      </c>
      <c r="J9" s="7" t="s">
        <v>22</v>
      </c>
    </row>
    <row r="10" spans="1:10" ht="34" customHeight="1" x14ac:dyDescent="0.35">
      <c r="A10" s="8">
        <v>1</v>
      </c>
      <c r="B10" s="9">
        <f t="shared" ref="B10:B44" si="0">IF($B$3="","",$B$3+A10-1)</f>
        <v>46117</v>
      </c>
      <c r="C10" s="8">
        <f t="shared" ref="C10:C44" si="1">ROUNDUP(A10/7,0)</f>
        <v>1</v>
      </c>
      <c r="D10" s="10" t="s">
        <v>23</v>
      </c>
      <c r="E10" s="8" t="s">
        <v>24</v>
      </c>
      <c r="F10" s="11"/>
      <c r="G10" s="8" t="str">
        <f t="shared" ref="G10:G44" si="2">IF(OR(E10="In Progress",E10="Completed",F10&gt;0),"Yes","No")</f>
        <v>No</v>
      </c>
      <c r="H10" s="8" t="str">
        <f t="shared" ref="H10:H44" si="3">IF(E10="Completed","Yes","No")</f>
        <v>No</v>
      </c>
      <c r="I10" s="10"/>
      <c r="J10" s="10"/>
    </row>
    <row r="11" spans="1:10" ht="34" customHeight="1" x14ac:dyDescent="0.35">
      <c r="A11" s="8">
        <v>2</v>
      </c>
      <c r="B11" s="9">
        <f t="shared" si="0"/>
        <v>46118</v>
      </c>
      <c r="C11" s="8">
        <f t="shared" si="1"/>
        <v>1</v>
      </c>
      <c r="D11" s="10" t="s">
        <v>25</v>
      </c>
      <c r="E11" s="8" t="s">
        <v>24</v>
      </c>
      <c r="F11" s="11"/>
      <c r="G11" s="8" t="str">
        <f t="shared" si="2"/>
        <v>No</v>
      </c>
      <c r="H11" s="8" t="str">
        <f t="shared" si="3"/>
        <v>No</v>
      </c>
      <c r="I11" s="10"/>
      <c r="J11" s="10"/>
    </row>
    <row r="12" spans="1:10" ht="34" customHeight="1" x14ac:dyDescent="0.35">
      <c r="A12" s="8">
        <v>3</v>
      </c>
      <c r="B12" s="9">
        <f t="shared" si="0"/>
        <v>46119</v>
      </c>
      <c r="C12" s="8">
        <f t="shared" si="1"/>
        <v>1</v>
      </c>
      <c r="D12" s="10" t="s">
        <v>26</v>
      </c>
      <c r="E12" s="8" t="s">
        <v>24</v>
      </c>
      <c r="F12" s="11"/>
      <c r="G12" s="8" t="str">
        <f t="shared" si="2"/>
        <v>No</v>
      </c>
      <c r="H12" s="8" t="str">
        <f t="shared" si="3"/>
        <v>No</v>
      </c>
      <c r="I12" s="10"/>
      <c r="J12" s="10"/>
    </row>
    <row r="13" spans="1:10" ht="34" customHeight="1" x14ac:dyDescent="0.35">
      <c r="A13" s="8">
        <v>4</v>
      </c>
      <c r="B13" s="9">
        <f t="shared" si="0"/>
        <v>46120</v>
      </c>
      <c r="C13" s="8">
        <f t="shared" si="1"/>
        <v>1</v>
      </c>
      <c r="D13" s="10" t="s">
        <v>27</v>
      </c>
      <c r="E13" s="8" t="s">
        <v>24</v>
      </c>
      <c r="F13" s="11"/>
      <c r="G13" s="8" t="str">
        <f t="shared" si="2"/>
        <v>No</v>
      </c>
      <c r="H13" s="8" t="str">
        <f t="shared" si="3"/>
        <v>No</v>
      </c>
      <c r="I13" s="10"/>
      <c r="J13" s="10"/>
    </row>
    <row r="14" spans="1:10" ht="34" customHeight="1" x14ac:dyDescent="0.35">
      <c r="A14" s="8">
        <v>5</v>
      </c>
      <c r="B14" s="9">
        <f t="shared" si="0"/>
        <v>46121</v>
      </c>
      <c r="C14" s="8">
        <f t="shared" si="1"/>
        <v>1</v>
      </c>
      <c r="D14" s="10" t="s">
        <v>28</v>
      </c>
      <c r="E14" s="8" t="s">
        <v>24</v>
      </c>
      <c r="F14" s="11"/>
      <c r="G14" s="8" t="str">
        <f t="shared" si="2"/>
        <v>No</v>
      </c>
      <c r="H14" s="8" t="str">
        <f t="shared" si="3"/>
        <v>No</v>
      </c>
      <c r="I14" s="10"/>
      <c r="J14" s="10"/>
    </row>
    <row r="15" spans="1:10" ht="34" customHeight="1" x14ac:dyDescent="0.35">
      <c r="A15" s="8">
        <v>6</v>
      </c>
      <c r="B15" s="9">
        <f t="shared" si="0"/>
        <v>46122</v>
      </c>
      <c r="C15" s="8">
        <f t="shared" si="1"/>
        <v>1</v>
      </c>
      <c r="D15" s="10" t="s">
        <v>29</v>
      </c>
      <c r="E15" s="8" t="s">
        <v>24</v>
      </c>
      <c r="F15" s="11"/>
      <c r="G15" s="8" t="str">
        <f t="shared" si="2"/>
        <v>No</v>
      </c>
      <c r="H15" s="8" t="str">
        <f t="shared" si="3"/>
        <v>No</v>
      </c>
      <c r="I15" s="10"/>
      <c r="J15" s="10"/>
    </row>
    <row r="16" spans="1:10" ht="34" customHeight="1" x14ac:dyDescent="0.35">
      <c r="A16" s="8">
        <v>7</v>
      </c>
      <c r="B16" s="9">
        <f t="shared" si="0"/>
        <v>46123</v>
      </c>
      <c r="C16" s="8">
        <f t="shared" si="1"/>
        <v>1</v>
      </c>
      <c r="D16" s="10" t="s">
        <v>30</v>
      </c>
      <c r="E16" s="8" t="s">
        <v>24</v>
      </c>
      <c r="F16" s="11"/>
      <c r="G16" s="8" t="str">
        <f t="shared" si="2"/>
        <v>No</v>
      </c>
      <c r="H16" s="8" t="str">
        <f t="shared" si="3"/>
        <v>No</v>
      </c>
      <c r="I16" s="10"/>
      <c r="J16" s="10"/>
    </row>
    <row r="17" spans="1:10" ht="34" customHeight="1" x14ac:dyDescent="0.35">
      <c r="A17" s="8">
        <v>8</v>
      </c>
      <c r="B17" s="9">
        <f t="shared" si="0"/>
        <v>46124</v>
      </c>
      <c r="C17" s="8">
        <f t="shared" si="1"/>
        <v>2</v>
      </c>
      <c r="D17" s="10" t="s">
        <v>31</v>
      </c>
      <c r="E17" s="8" t="s">
        <v>24</v>
      </c>
      <c r="F17" s="11"/>
      <c r="G17" s="8" t="str">
        <f t="shared" si="2"/>
        <v>No</v>
      </c>
      <c r="H17" s="8" t="str">
        <f t="shared" si="3"/>
        <v>No</v>
      </c>
      <c r="I17" s="10"/>
      <c r="J17" s="10"/>
    </row>
    <row r="18" spans="1:10" ht="34" customHeight="1" x14ac:dyDescent="0.35">
      <c r="A18" s="8">
        <v>9</v>
      </c>
      <c r="B18" s="9">
        <f t="shared" si="0"/>
        <v>46125</v>
      </c>
      <c r="C18" s="8">
        <f t="shared" si="1"/>
        <v>2</v>
      </c>
      <c r="D18" s="10" t="s">
        <v>32</v>
      </c>
      <c r="E18" s="8" t="s">
        <v>24</v>
      </c>
      <c r="F18" s="11"/>
      <c r="G18" s="8" t="str">
        <f t="shared" si="2"/>
        <v>No</v>
      </c>
      <c r="H18" s="8" t="str">
        <f t="shared" si="3"/>
        <v>No</v>
      </c>
      <c r="I18" s="10"/>
      <c r="J18" s="10"/>
    </row>
    <row r="19" spans="1:10" ht="34" customHeight="1" x14ac:dyDescent="0.35">
      <c r="A19" s="8">
        <v>10</v>
      </c>
      <c r="B19" s="9">
        <f t="shared" si="0"/>
        <v>46126</v>
      </c>
      <c r="C19" s="8">
        <f t="shared" si="1"/>
        <v>2</v>
      </c>
      <c r="D19" s="10" t="s">
        <v>33</v>
      </c>
      <c r="E19" s="8" t="s">
        <v>24</v>
      </c>
      <c r="F19" s="11"/>
      <c r="G19" s="8" t="str">
        <f t="shared" si="2"/>
        <v>No</v>
      </c>
      <c r="H19" s="8" t="str">
        <f t="shared" si="3"/>
        <v>No</v>
      </c>
      <c r="I19" s="10"/>
      <c r="J19" s="10"/>
    </row>
    <row r="20" spans="1:10" ht="34" customHeight="1" x14ac:dyDescent="0.35">
      <c r="A20" s="8">
        <v>11</v>
      </c>
      <c r="B20" s="9">
        <f t="shared" si="0"/>
        <v>46127</v>
      </c>
      <c r="C20" s="8">
        <f t="shared" si="1"/>
        <v>2</v>
      </c>
      <c r="D20" s="10" t="s">
        <v>34</v>
      </c>
      <c r="E20" s="8" t="s">
        <v>24</v>
      </c>
      <c r="F20" s="11"/>
      <c r="G20" s="8" t="str">
        <f t="shared" si="2"/>
        <v>No</v>
      </c>
      <c r="H20" s="8" t="str">
        <f t="shared" si="3"/>
        <v>No</v>
      </c>
      <c r="I20" s="10"/>
      <c r="J20" s="10"/>
    </row>
    <row r="21" spans="1:10" ht="34" customHeight="1" x14ac:dyDescent="0.35">
      <c r="A21" s="8">
        <v>12</v>
      </c>
      <c r="B21" s="9">
        <f t="shared" si="0"/>
        <v>46128</v>
      </c>
      <c r="C21" s="8">
        <f t="shared" si="1"/>
        <v>2</v>
      </c>
      <c r="D21" s="10" t="s">
        <v>35</v>
      </c>
      <c r="E21" s="8" t="s">
        <v>24</v>
      </c>
      <c r="F21" s="11"/>
      <c r="G21" s="8" t="str">
        <f t="shared" si="2"/>
        <v>No</v>
      </c>
      <c r="H21" s="8" t="str">
        <f t="shared" si="3"/>
        <v>No</v>
      </c>
      <c r="I21" s="10"/>
      <c r="J21" s="10"/>
    </row>
    <row r="22" spans="1:10" ht="34" customHeight="1" x14ac:dyDescent="0.35">
      <c r="A22" s="8">
        <v>13</v>
      </c>
      <c r="B22" s="9">
        <f t="shared" si="0"/>
        <v>46129</v>
      </c>
      <c r="C22" s="8">
        <f t="shared" si="1"/>
        <v>2</v>
      </c>
      <c r="D22" s="10" t="s">
        <v>36</v>
      </c>
      <c r="E22" s="8" t="s">
        <v>24</v>
      </c>
      <c r="F22" s="11"/>
      <c r="G22" s="8" t="str">
        <f t="shared" si="2"/>
        <v>No</v>
      </c>
      <c r="H22" s="8" t="str">
        <f t="shared" si="3"/>
        <v>No</v>
      </c>
      <c r="I22" s="10"/>
      <c r="J22" s="10"/>
    </row>
    <row r="23" spans="1:10" ht="34" customHeight="1" x14ac:dyDescent="0.35">
      <c r="A23" s="8">
        <v>14</v>
      </c>
      <c r="B23" s="9">
        <f t="shared" si="0"/>
        <v>46130</v>
      </c>
      <c r="C23" s="8">
        <f t="shared" si="1"/>
        <v>2</v>
      </c>
      <c r="D23" s="10" t="s">
        <v>37</v>
      </c>
      <c r="E23" s="8" t="s">
        <v>24</v>
      </c>
      <c r="F23" s="11"/>
      <c r="G23" s="8" t="str">
        <f t="shared" si="2"/>
        <v>No</v>
      </c>
      <c r="H23" s="8" t="str">
        <f t="shared" si="3"/>
        <v>No</v>
      </c>
      <c r="I23" s="10"/>
      <c r="J23" s="10"/>
    </row>
    <row r="24" spans="1:10" ht="34" customHeight="1" x14ac:dyDescent="0.35">
      <c r="A24" s="8">
        <v>15</v>
      </c>
      <c r="B24" s="9">
        <f t="shared" si="0"/>
        <v>46131</v>
      </c>
      <c r="C24" s="8">
        <f t="shared" si="1"/>
        <v>3</v>
      </c>
      <c r="D24" s="10" t="s">
        <v>38</v>
      </c>
      <c r="E24" s="8" t="s">
        <v>24</v>
      </c>
      <c r="F24" s="11"/>
      <c r="G24" s="8" t="str">
        <f t="shared" si="2"/>
        <v>No</v>
      </c>
      <c r="H24" s="8" t="str">
        <f t="shared" si="3"/>
        <v>No</v>
      </c>
      <c r="I24" s="10"/>
      <c r="J24" s="10"/>
    </row>
    <row r="25" spans="1:10" ht="34" customHeight="1" x14ac:dyDescent="0.35">
      <c r="A25" s="8">
        <v>16</v>
      </c>
      <c r="B25" s="9">
        <f t="shared" si="0"/>
        <v>46132</v>
      </c>
      <c r="C25" s="8">
        <f t="shared" si="1"/>
        <v>3</v>
      </c>
      <c r="D25" s="10" t="s">
        <v>39</v>
      </c>
      <c r="E25" s="8" t="s">
        <v>24</v>
      </c>
      <c r="F25" s="11"/>
      <c r="G25" s="8" t="str">
        <f t="shared" si="2"/>
        <v>No</v>
      </c>
      <c r="H25" s="8" t="str">
        <f t="shared" si="3"/>
        <v>No</v>
      </c>
      <c r="I25" s="10"/>
      <c r="J25" s="10"/>
    </row>
    <row r="26" spans="1:10" ht="34" customHeight="1" x14ac:dyDescent="0.35">
      <c r="A26" s="8">
        <v>17</v>
      </c>
      <c r="B26" s="9">
        <f t="shared" si="0"/>
        <v>46133</v>
      </c>
      <c r="C26" s="8">
        <f t="shared" si="1"/>
        <v>3</v>
      </c>
      <c r="D26" s="10" t="s">
        <v>40</v>
      </c>
      <c r="E26" s="8" t="s">
        <v>24</v>
      </c>
      <c r="F26" s="11"/>
      <c r="G26" s="8" t="str">
        <f t="shared" si="2"/>
        <v>No</v>
      </c>
      <c r="H26" s="8" t="str">
        <f t="shared" si="3"/>
        <v>No</v>
      </c>
      <c r="I26" s="10"/>
      <c r="J26" s="10"/>
    </row>
    <row r="27" spans="1:10" ht="34" customHeight="1" x14ac:dyDescent="0.35">
      <c r="A27" s="8">
        <v>18</v>
      </c>
      <c r="B27" s="9">
        <f t="shared" si="0"/>
        <v>46134</v>
      </c>
      <c r="C27" s="8">
        <f t="shared" si="1"/>
        <v>3</v>
      </c>
      <c r="D27" s="10" t="s">
        <v>41</v>
      </c>
      <c r="E27" s="8" t="s">
        <v>24</v>
      </c>
      <c r="F27" s="11"/>
      <c r="G27" s="8" t="str">
        <f t="shared" si="2"/>
        <v>No</v>
      </c>
      <c r="H27" s="8" t="str">
        <f t="shared" si="3"/>
        <v>No</v>
      </c>
      <c r="I27" s="10"/>
      <c r="J27" s="10"/>
    </row>
    <row r="28" spans="1:10" ht="34" customHeight="1" x14ac:dyDescent="0.35">
      <c r="A28" s="8">
        <v>19</v>
      </c>
      <c r="B28" s="9">
        <f t="shared" si="0"/>
        <v>46135</v>
      </c>
      <c r="C28" s="8">
        <f t="shared" si="1"/>
        <v>3</v>
      </c>
      <c r="D28" s="10" t="s">
        <v>42</v>
      </c>
      <c r="E28" s="8" t="s">
        <v>24</v>
      </c>
      <c r="F28" s="11"/>
      <c r="G28" s="8" t="str">
        <f t="shared" si="2"/>
        <v>No</v>
      </c>
      <c r="H28" s="8" t="str">
        <f t="shared" si="3"/>
        <v>No</v>
      </c>
      <c r="I28" s="10"/>
      <c r="J28" s="10"/>
    </row>
    <row r="29" spans="1:10" ht="34" customHeight="1" x14ac:dyDescent="0.35">
      <c r="A29" s="8">
        <v>20</v>
      </c>
      <c r="B29" s="9">
        <f t="shared" si="0"/>
        <v>46136</v>
      </c>
      <c r="C29" s="8">
        <f t="shared" si="1"/>
        <v>3</v>
      </c>
      <c r="D29" s="10" t="s">
        <v>43</v>
      </c>
      <c r="E29" s="8" t="s">
        <v>24</v>
      </c>
      <c r="F29" s="11"/>
      <c r="G29" s="8" t="str">
        <f t="shared" si="2"/>
        <v>No</v>
      </c>
      <c r="H29" s="8" t="str">
        <f t="shared" si="3"/>
        <v>No</v>
      </c>
      <c r="I29" s="10"/>
      <c r="J29" s="10"/>
    </row>
    <row r="30" spans="1:10" ht="34" customHeight="1" x14ac:dyDescent="0.35">
      <c r="A30" s="8">
        <v>21</v>
      </c>
      <c r="B30" s="9">
        <f t="shared" si="0"/>
        <v>46137</v>
      </c>
      <c r="C30" s="8">
        <f t="shared" si="1"/>
        <v>3</v>
      </c>
      <c r="D30" s="10" t="s">
        <v>44</v>
      </c>
      <c r="E30" s="8" t="s">
        <v>24</v>
      </c>
      <c r="F30" s="11"/>
      <c r="G30" s="8" t="str">
        <f t="shared" si="2"/>
        <v>No</v>
      </c>
      <c r="H30" s="8" t="str">
        <f t="shared" si="3"/>
        <v>No</v>
      </c>
      <c r="I30" s="10"/>
      <c r="J30" s="10"/>
    </row>
    <row r="31" spans="1:10" ht="34" customHeight="1" x14ac:dyDescent="0.35">
      <c r="A31" s="8">
        <v>22</v>
      </c>
      <c r="B31" s="9">
        <f t="shared" si="0"/>
        <v>46138</v>
      </c>
      <c r="C31" s="8">
        <f t="shared" si="1"/>
        <v>4</v>
      </c>
      <c r="D31" s="10" t="s">
        <v>45</v>
      </c>
      <c r="E31" s="8" t="s">
        <v>24</v>
      </c>
      <c r="F31" s="11"/>
      <c r="G31" s="8" t="str">
        <f t="shared" si="2"/>
        <v>No</v>
      </c>
      <c r="H31" s="8" t="str">
        <f t="shared" si="3"/>
        <v>No</v>
      </c>
      <c r="I31" s="10"/>
      <c r="J31" s="10"/>
    </row>
    <row r="32" spans="1:10" ht="34" customHeight="1" x14ac:dyDescent="0.35">
      <c r="A32" s="8">
        <v>23</v>
      </c>
      <c r="B32" s="9">
        <f t="shared" si="0"/>
        <v>46139</v>
      </c>
      <c r="C32" s="8">
        <f t="shared" si="1"/>
        <v>4</v>
      </c>
      <c r="D32" s="10" t="s">
        <v>46</v>
      </c>
      <c r="E32" s="8" t="s">
        <v>24</v>
      </c>
      <c r="F32" s="11"/>
      <c r="G32" s="8" t="str">
        <f t="shared" si="2"/>
        <v>No</v>
      </c>
      <c r="H32" s="8" t="str">
        <f t="shared" si="3"/>
        <v>No</v>
      </c>
      <c r="I32" s="10"/>
      <c r="J32" s="10"/>
    </row>
    <row r="33" spans="1:10" ht="34" customHeight="1" x14ac:dyDescent="0.35">
      <c r="A33" s="8">
        <v>24</v>
      </c>
      <c r="B33" s="9">
        <f t="shared" si="0"/>
        <v>46140</v>
      </c>
      <c r="C33" s="8">
        <f t="shared" si="1"/>
        <v>4</v>
      </c>
      <c r="D33" s="10" t="s">
        <v>47</v>
      </c>
      <c r="E33" s="8" t="s">
        <v>24</v>
      </c>
      <c r="F33" s="11"/>
      <c r="G33" s="8" t="str">
        <f t="shared" si="2"/>
        <v>No</v>
      </c>
      <c r="H33" s="8" t="str">
        <f t="shared" si="3"/>
        <v>No</v>
      </c>
      <c r="I33" s="10"/>
      <c r="J33" s="10"/>
    </row>
    <row r="34" spans="1:10" ht="34" customHeight="1" x14ac:dyDescent="0.35">
      <c r="A34" s="8">
        <v>25</v>
      </c>
      <c r="B34" s="9">
        <f t="shared" si="0"/>
        <v>46141</v>
      </c>
      <c r="C34" s="8">
        <f t="shared" si="1"/>
        <v>4</v>
      </c>
      <c r="D34" s="10" t="s">
        <v>48</v>
      </c>
      <c r="E34" s="8" t="s">
        <v>24</v>
      </c>
      <c r="F34" s="11"/>
      <c r="G34" s="8" t="str">
        <f t="shared" si="2"/>
        <v>No</v>
      </c>
      <c r="H34" s="8" t="str">
        <f t="shared" si="3"/>
        <v>No</v>
      </c>
      <c r="I34" s="10"/>
      <c r="J34" s="10"/>
    </row>
    <row r="35" spans="1:10" ht="34" customHeight="1" x14ac:dyDescent="0.35">
      <c r="A35" s="8">
        <v>26</v>
      </c>
      <c r="B35" s="9">
        <f t="shared" si="0"/>
        <v>46142</v>
      </c>
      <c r="C35" s="8">
        <f t="shared" si="1"/>
        <v>4</v>
      </c>
      <c r="D35" s="10" t="s">
        <v>49</v>
      </c>
      <c r="E35" s="8" t="s">
        <v>24</v>
      </c>
      <c r="F35" s="11"/>
      <c r="G35" s="8" t="str">
        <f t="shared" si="2"/>
        <v>No</v>
      </c>
      <c r="H35" s="8" t="str">
        <f t="shared" si="3"/>
        <v>No</v>
      </c>
      <c r="I35" s="10"/>
      <c r="J35" s="10"/>
    </row>
    <row r="36" spans="1:10" ht="34" customHeight="1" x14ac:dyDescent="0.35">
      <c r="A36" s="8">
        <v>27</v>
      </c>
      <c r="B36" s="9">
        <f t="shared" si="0"/>
        <v>46143</v>
      </c>
      <c r="C36" s="8">
        <f t="shared" si="1"/>
        <v>4</v>
      </c>
      <c r="D36" s="10" t="s">
        <v>50</v>
      </c>
      <c r="E36" s="8" t="s">
        <v>24</v>
      </c>
      <c r="F36" s="11"/>
      <c r="G36" s="8" t="str">
        <f t="shared" si="2"/>
        <v>No</v>
      </c>
      <c r="H36" s="8" t="str">
        <f t="shared" si="3"/>
        <v>No</v>
      </c>
      <c r="I36" s="10"/>
      <c r="J36" s="10"/>
    </row>
    <row r="37" spans="1:10" ht="34" customHeight="1" x14ac:dyDescent="0.35">
      <c r="A37" s="8">
        <v>28</v>
      </c>
      <c r="B37" s="9">
        <f t="shared" si="0"/>
        <v>46144</v>
      </c>
      <c r="C37" s="8">
        <f t="shared" si="1"/>
        <v>4</v>
      </c>
      <c r="D37" s="10" t="s">
        <v>51</v>
      </c>
      <c r="E37" s="8" t="s">
        <v>24</v>
      </c>
      <c r="F37" s="11"/>
      <c r="G37" s="8" t="str">
        <f t="shared" si="2"/>
        <v>No</v>
      </c>
      <c r="H37" s="8" t="str">
        <f t="shared" si="3"/>
        <v>No</v>
      </c>
      <c r="I37" s="10"/>
      <c r="J37" s="10"/>
    </row>
    <row r="38" spans="1:10" ht="34" customHeight="1" x14ac:dyDescent="0.35">
      <c r="A38" s="8">
        <v>29</v>
      </c>
      <c r="B38" s="9">
        <f t="shared" si="0"/>
        <v>46145</v>
      </c>
      <c r="C38" s="8">
        <f t="shared" si="1"/>
        <v>5</v>
      </c>
      <c r="D38" s="10" t="s">
        <v>52</v>
      </c>
      <c r="E38" s="8" t="s">
        <v>24</v>
      </c>
      <c r="F38" s="11"/>
      <c r="G38" s="8" t="str">
        <f t="shared" si="2"/>
        <v>No</v>
      </c>
      <c r="H38" s="8" t="str">
        <f t="shared" si="3"/>
        <v>No</v>
      </c>
      <c r="I38" s="10"/>
      <c r="J38" s="10"/>
    </row>
    <row r="39" spans="1:10" ht="34" customHeight="1" x14ac:dyDescent="0.35">
      <c r="A39" s="8">
        <v>30</v>
      </c>
      <c r="B39" s="9">
        <f t="shared" si="0"/>
        <v>46146</v>
      </c>
      <c r="C39" s="8">
        <f t="shared" si="1"/>
        <v>5</v>
      </c>
      <c r="D39" s="10" t="s">
        <v>53</v>
      </c>
      <c r="E39" s="8" t="s">
        <v>24</v>
      </c>
      <c r="F39" s="11"/>
      <c r="G39" s="8" t="str">
        <f t="shared" si="2"/>
        <v>No</v>
      </c>
      <c r="H39" s="8" t="str">
        <f t="shared" si="3"/>
        <v>No</v>
      </c>
      <c r="I39" s="10"/>
      <c r="J39" s="10"/>
    </row>
    <row r="40" spans="1:10" ht="34" customHeight="1" x14ac:dyDescent="0.35">
      <c r="A40" s="8">
        <v>31</v>
      </c>
      <c r="B40" s="9">
        <f t="shared" si="0"/>
        <v>46147</v>
      </c>
      <c r="C40" s="8">
        <f t="shared" si="1"/>
        <v>5</v>
      </c>
      <c r="D40" s="10" t="s">
        <v>54</v>
      </c>
      <c r="E40" s="8" t="s">
        <v>24</v>
      </c>
      <c r="F40" s="11"/>
      <c r="G40" s="8" t="str">
        <f t="shared" si="2"/>
        <v>No</v>
      </c>
      <c r="H40" s="8" t="str">
        <f t="shared" si="3"/>
        <v>No</v>
      </c>
      <c r="I40" s="10"/>
      <c r="J40" s="10"/>
    </row>
    <row r="41" spans="1:10" ht="34" customHeight="1" x14ac:dyDescent="0.35">
      <c r="A41" s="8">
        <v>32</v>
      </c>
      <c r="B41" s="9">
        <f t="shared" si="0"/>
        <v>46148</v>
      </c>
      <c r="C41" s="8">
        <f t="shared" si="1"/>
        <v>5</v>
      </c>
      <c r="D41" s="10" t="s">
        <v>55</v>
      </c>
      <c r="E41" s="8" t="s">
        <v>24</v>
      </c>
      <c r="F41" s="11"/>
      <c r="G41" s="8" t="str">
        <f t="shared" si="2"/>
        <v>No</v>
      </c>
      <c r="H41" s="8" t="str">
        <f t="shared" si="3"/>
        <v>No</v>
      </c>
      <c r="I41" s="10"/>
      <c r="J41" s="10"/>
    </row>
    <row r="42" spans="1:10" ht="34" customHeight="1" x14ac:dyDescent="0.35">
      <c r="A42" s="8">
        <v>33</v>
      </c>
      <c r="B42" s="9">
        <f t="shared" si="0"/>
        <v>46149</v>
      </c>
      <c r="C42" s="8">
        <f t="shared" si="1"/>
        <v>5</v>
      </c>
      <c r="D42" s="10" t="s">
        <v>56</v>
      </c>
      <c r="E42" s="8" t="s">
        <v>24</v>
      </c>
      <c r="F42" s="11"/>
      <c r="G42" s="8" t="str">
        <f t="shared" si="2"/>
        <v>No</v>
      </c>
      <c r="H42" s="8" t="str">
        <f t="shared" si="3"/>
        <v>No</v>
      </c>
      <c r="I42" s="10"/>
      <c r="J42" s="10"/>
    </row>
    <row r="43" spans="1:10" ht="34" customHeight="1" x14ac:dyDescent="0.35">
      <c r="A43" s="8">
        <v>34</v>
      </c>
      <c r="B43" s="9">
        <f t="shared" si="0"/>
        <v>46150</v>
      </c>
      <c r="C43" s="8">
        <f t="shared" si="1"/>
        <v>5</v>
      </c>
      <c r="D43" s="10" t="s">
        <v>57</v>
      </c>
      <c r="E43" s="8" t="s">
        <v>24</v>
      </c>
      <c r="F43" s="11"/>
      <c r="G43" s="8" t="str">
        <f t="shared" si="2"/>
        <v>No</v>
      </c>
      <c r="H43" s="8" t="str">
        <f t="shared" si="3"/>
        <v>No</v>
      </c>
      <c r="I43" s="10"/>
      <c r="J43" s="10"/>
    </row>
    <row r="44" spans="1:10" ht="34" customHeight="1" x14ac:dyDescent="0.35">
      <c r="A44" s="8">
        <v>35</v>
      </c>
      <c r="B44" s="9">
        <f t="shared" si="0"/>
        <v>46151</v>
      </c>
      <c r="C44" s="8">
        <f t="shared" si="1"/>
        <v>5</v>
      </c>
      <c r="D44" s="10" t="s">
        <v>58</v>
      </c>
      <c r="E44" s="8" t="s">
        <v>24</v>
      </c>
      <c r="F44" s="11"/>
      <c r="G44" s="8" t="str">
        <f t="shared" si="2"/>
        <v>No</v>
      </c>
      <c r="H44" s="8" t="str">
        <f t="shared" si="3"/>
        <v>No</v>
      </c>
      <c r="I44" s="10"/>
      <c r="J44" s="10"/>
    </row>
    <row r="47" spans="1:10" x14ac:dyDescent="0.35">
      <c r="A47" s="20" t="s">
        <v>59</v>
      </c>
      <c r="B47" s="17"/>
      <c r="C47" s="17"/>
      <c r="D47" s="17"/>
      <c r="E47" s="17"/>
      <c r="F47" s="17"/>
    </row>
    <row r="48" spans="1:10" x14ac:dyDescent="0.35">
      <c r="A48" s="12" t="s">
        <v>15</v>
      </c>
      <c r="B48" s="12" t="s">
        <v>10</v>
      </c>
      <c r="C48" s="12" t="s">
        <v>3</v>
      </c>
      <c r="D48" s="12" t="s">
        <v>7</v>
      </c>
      <c r="E48" s="12" t="s">
        <v>60</v>
      </c>
      <c r="F48" s="12" t="s">
        <v>61</v>
      </c>
    </row>
    <row r="49" spans="1:5" x14ac:dyDescent="0.35">
      <c r="A49">
        <v>1</v>
      </c>
      <c r="B49">
        <v>7</v>
      </c>
      <c r="C49">
        <f>COUNTIFS($C$10:$C$44,A49,$E$10:$E$44,"Completed")</f>
        <v>0</v>
      </c>
      <c r="D49" s="13">
        <f>C49/B49</f>
        <v>0</v>
      </c>
      <c r="E49">
        <f>SUMIFS($F$10:$F$44,$C$10:$C$44,A49)</f>
        <v>0</v>
      </c>
    </row>
    <row r="50" spans="1:5" x14ac:dyDescent="0.35">
      <c r="A50">
        <v>2</v>
      </c>
      <c r="B50">
        <v>7</v>
      </c>
      <c r="C50">
        <f>COUNTIFS($C$10:$C$44,A50,$E$10:$E$44,"Completed")</f>
        <v>0</v>
      </c>
      <c r="D50" s="13">
        <f>C50/B50</f>
        <v>0</v>
      </c>
      <c r="E50">
        <f>SUMIFS($F$10:$F$44,$C$10:$C$44,A50)</f>
        <v>0</v>
      </c>
    </row>
    <row r="51" spans="1:5" x14ac:dyDescent="0.35">
      <c r="A51">
        <v>3</v>
      </c>
      <c r="B51">
        <v>7</v>
      </c>
      <c r="C51">
        <f>COUNTIFS($C$10:$C$44,A51,$E$10:$E$44,"Completed")</f>
        <v>0</v>
      </c>
      <c r="D51" s="13">
        <f>C51/B51</f>
        <v>0</v>
      </c>
      <c r="E51">
        <f>SUMIFS($F$10:$F$44,$C$10:$C$44,A51)</f>
        <v>0</v>
      </c>
    </row>
    <row r="52" spans="1:5" x14ac:dyDescent="0.35">
      <c r="A52">
        <v>4</v>
      </c>
      <c r="B52">
        <v>7</v>
      </c>
      <c r="C52">
        <f>COUNTIFS($C$10:$C$44,A52,$E$10:$E$44,"Completed")</f>
        <v>0</v>
      </c>
      <c r="D52" s="13">
        <f>C52/B52</f>
        <v>0</v>
      </c>
      <c r="E52">
        <f>SUMIFS($F$10:$F$44,$C$10:$C$44,A52)</f>
        <v>0</v>
      </c>
    </row>
    <row r="53" spans="1:5" x14ac:dyDescent="0.35">
      <c r="A53">
        <v>5</v>
      </c>
      <c r="B53">
        <v>7</v>
      </c>
      <c r="C53">
        <f>COUNTIFS($C$10:$C$44,A53,$E$10:$E$44,"Completed")</f>
        <v>0</v>
      </c>
      <c r="D53" s="13">
        <f>C53/B53</f>
        <v>0</v>
      </c>
      <c r="E53">
        <f>SUMIFS($F$10:$F$44,$C$10:$C$44,A53)</f>
        <v>0</v>
      </c>
    </row>
  </sheetData>
  <mergeCells count="4">
    <mergeCell ref="A1:J1"/>
    <mergeCell ref="A7:J7"/>
    <mergeCell ref="I2:J2"/>
    <mergeCell ref="A47:F47"/>
  </mergeCells>
  <conditionalFormatting sqref="E10:E44">
    <cfRule type="expression" dxfId="3" priority="1">
      <formula>E10="Completed"</formula>
    </cfRule>
    <cfRule type="expression" dxfId="2" priority="2">
      <formula>E10="In Progress"</formula>
    </cfRule>
    <cfRule type="expression" dxfId="1" priority="3">
      <formula>E10="Blocked"</formula>
    </cfRule>
  </conditionalFormatting>
  <conditionalFormatting sqref="H10:H44">
    <cfRule type="expression" dxfId="0" priority="4">
      <formula>H10="Yes"</formula>
    </cfRule>
  </conditionalFormatting>
  <dataValidations count="1">
    <dataValidation type="list" sqref="E10:E44" xr:uid="{00000000-0002-0000-0000-000000000000}">
      <formula1>"Not Started,In Progress,Completed,Blocked"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5" x14ac:dyDescent="0.35"/>
  <cols>
    <col min="1" max="1" width="110" customWidth="1"/>
  </cols>
  <sheetData>
    <row r="1" spans="1:1" x14ac:dyDescent="0.35">
      <c r="A1" s="14" t="s">
        <v>62</v>
      </c>
    </row>
    <row r="2" spans="1:1" ht="28" customHeight="1" x14ac:dyDescent="0.35">
      <c r="A2" s="15" t="s">
        <v>63</v>
      </c>
    </row>
    <row r="3" spans="1:1" ht="28" customHeight="1" x14ac:dyDescent="0.35">
      <c r="A3" s="15" t="s">
        <v>64</v>
      </c>
    </row>
    <row r="4" spans="1:1" ht="28" customHeight="1" x14ac:dyDescent="0.35">
      <c r="A4" s="15" t="s">
        <v>65</v>
      </c>
    </row>
    <row r="5" spans="1:1" ht="28" customHeight="1" x14ac:dyDescent="0.35">
      <c r="A5" s="15" t="s">
        <v>66</v>
      </c>
    </row>
    <row r="6" spans="1:1" ht="28" customHeight="1" x14ac:dyDescent="0.35">
      <c r="A6" s="15" t="s">
        <v>67</v>
      </c>
    </row>
    <row r="7" spans="1:1" ht="28" customHeight="1" x14ac:dyDescent="0.35">
      <c r="A7" s="15" t="s">
        <v>68</v>
      </c>
    </row>
    <row r="8" spans="1:1" ht="28" customHeight="1" x14ac:dyDescent="0.35">
      <c r="A8" s="15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Mitchel Chukwuemeka</cp:lastModifiedBy>
  <dcterms:created xsi:type="dcterms:W3CDTF">2026-04-05T12:03:03Z</dcterms:created>
  <dcterms:modified xsi:type="dcterms:W3CDTF">2026-04-05T12:05:08Z</dcterms:modified>
</cp:coreProperties>
</file>