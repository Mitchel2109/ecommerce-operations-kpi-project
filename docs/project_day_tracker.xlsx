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Tracker" sheetId="1" state="visible" r:id="rId1"/>
    <sheet name="Instructions" sheetId="2" state="visible" r:id="rId2"/>
  </sheets>
  <definedNames/>
  <calcPr calcId="19102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FFFFFFFF"/>
      <sz val="14"/>
    </font>
    <font>
      <name val="Calibri"/>
      <b val="1"/>
      <sz val="11"/>
    </font>
    <font>
      <name val="Calibri"/>
      <color rgb="FF0000FF"/>
      <sz val="11"/>
    </font>
    <font>
      <name val="Calibri"/>
      <b val="1"/>
      <color rgb="FF000000"/>
      <sz val="11"/>
    </font>
    <font>
      <name val="Calibri"/>
      <i val="1"/>
      <sz val="11"/>
    </font>
    <font>
      <name val="Calibri"/>
      <b val="1"/>
      <color rgb="FF0F766E"/>
      <sz val="11"/>
    </font>
    <font>
      <name val="Calibri"/>
      <b val="1"/>
      <color rgb="FFFFFFFF"/>
      <sz val="11"/>
    </font>
    <font>
      <name val="Calibri"/>
      <sz val="11"/>
    </font>
    <font>
      <name val="Calibri"/>
      <family val="2"/>
      <sz val="11"/>
      <scheme val="minor"/>
    </font>
  </fonts>
  <fills count="9">
    <fill>
      <patternFill/>
    </fill>
    <fill>
      <patternFill patternType="gray125"/>
    </fill>
    <fill>
      <patternFill patternType="solid">
        <fgColor rgb="FF1F4E78"/>
      </patternFill>
    </fill>
    <fill>
      <patternFill patternType="solid">
        <fgColor rgb="FFE7E6E6"/>
      </patternFill>
    </fill>
    <fill>
      <patternFill patternType="solid">
        <fgColor rgb="FFEDE7F6"/>
      </patternFill>
    </fill>
    <fill>
      <patternFill patternType="solid">
        <fgColor rgb="FFF3F9FF"/>
      </patternFill>
    </fill>
    <fill>
      <patternFill patternType="solid">
        <fgColor rgb="FFCCFBF1"/>
      </patternFill>
    </fill>
    <fill>
      <patternFill patternType="solid">
        <fgColor rgb="FFFFF2CC"/>
      </patternFill>
    </fill>
    <fill>
      <patternFill patternType="solid">
        <fgColor rgb="FFDDEBF7"/>
      </patternFill>
    </fill>
  </fills>
  <borders count="2">
    <border>
      <left/>
      <right/>
      <top/>
      <bottom/>
      <diagonal/>
    </border>
    <border>
      <left/>
      <right/>
      <top/>
      <bottom style="thin">
        <color rgb="FFD9D9D9"/>
      </bottom>
      <diagonal/>
    </border>
  </borders>
  <cellStyleXfs count="1">
    <xf numFmtId="0" fontId="0" fillId="0" borderId="0"/>
  </cellStyleXfs>
  <cellXfs count="24">
    <xf numFmtId="0" fontId="0" fillId="0" borderId="0" pivotButton="0" quotePrefix="0" xfId="0"/>
    <xf numFmtId="0" fontId="2" fillId="3" borderId="0" pivotButton="0" quotePrefix="0" xfId="0"/>
    <xf numFmtId="0" fontId="3" fillId="5" borderId="0" pivotButton="0" quotePrefix="0" xfId="0"/>
    <xf numFmtId="0" fontId="2" fillId="4" borderId="0" pivotButton="0" quotePrefix="0" xfId="0"/>
    <xf numFmtId="0" fontId="4" fillId="6" borderId="0" pivotButton="0" quotePrefix="0" xfId="0"/>
    <xf numFmtId="14" fontId="3" fillId="5" borderId="0" pivotButton="0" quotePrefix="0" xfId="0"/>
    <xf numFmtId="164" fontId="4" fillId="6" borderId="0" pivotButton="0" quotePrefix="0" xfId="0"/>
    <xf numFmtId="0" fontId="2" fillId="8" borderId="0" applyAlignment="1" pivotButton="0" quotePrefix="0" xfId="0">
      <alignment horizontal="center" vertical="center" wrapText="1"/>
    </xf>
    <xf numFmtId="0" fontId="0" fillId="0" borderId="1" applyAlignment="1" pivotButton="0" quotePrefix="0" xfId="0">
      <alignment vertical="center"/>
    </xf>
    <xf numFmtId="14" fontId="0" fillId="0" borderId="1" applyAlignment="1" pivotButton="0" quotePrefix="0" xfId="0">
      <alignment vertical="center"/>
    </xf>
    <xf numFmtId="1" fontId="0" fillId="0" borderId="1" applyAlignment="1" pivotButton="0" quotePrefix="0" xfId="0">
      <alignment vertical="center"/>
    </xf>
    <xf numFmtId="0" fontId="2" fillId="8" borderId="0" pivotButton="0" quotePrefix="0" xfId="0"/>
    <xf numFmtId="164" fontId="0" fillId="0" borderId="0" pivotButton="0" quotePrefix="0" xfId="0"/>
    <xf numFmtId="0" fontId="7" fillId="2"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vertical="center"/>
    </xf>
    <xf numFmtId="0" fontId="9" fillId="0" borderId="1" applyAlignment="1" pivotButton="0" quotePrefix="0" xfId="0">
      <alignment vertical="center" wrapText="1"/>
    </xf>
    <xf numFmtId="0" fontId="1" fillId="2" borderId="0" applyAlignment="1" pivotButton="0" quotePrefix="0" xfId="0">
      <alignment horizontal="center"/>
    </xf>
    <xf numFmtId="0" fontId="0" fillId="0" borderId="0" pivotButton="0" quotePrefix="0" xfId="0"/>
    <xf numFmtId="0" fontId="5" fillId="7" borderId="0" applyAlignment="1" pivotButton="0" quotePrefix="0" xfId="0">
      <alignment wrapText="1"/>
    </xf>
    <xf numFmtId="0" fontId="6" fillId="6" borderId="0" applyAlignment="1" pivotButton="0" quotePrefix="0" xfId="0">
      <alignment horizontal="left"/>
    </xf>
    <xf numFmtId="0" fontId="7" fillId="2" borderId="0" pivotButton="0" quotePrefix="0" xfId="0"/>
  </cellXfs>
  <cellStyles count="1">
    <cellStyle name="Normal" xfId="0" builtinId="0"/>
  </cellStyles>
  <dxfs count="4">
    <dxf>
      <fill>
        <patternFill patternType="solid">
          <fgColor rgb="FFE2F0D9"/>
        </patternFill>
      </fill>
    </dxf>
    <dxf>
      <fill>
        <patternFill patternType="solid">
          <fgColor rgb="FFFDE9E7"/>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tabSelected="1" zoomScale="110" zoomScaleNormal="78" workbookViewId="0">
      <pane ySplit="9" topLeftCell="A23" activePane="bottomLeft" state="frozen"/>
      <selection pane="bottomLeft" activeCell="J31" sqref="J31"/>
    </sheetView>
  </sheetViews>
  <sheetFormatPr baseColWidth="8" defaultRowHeight="14.5"/>
  <cols>
    <col width="8" customWidth="1" style="20" min="1" max="1"/>
    <col width="13" customWidth="1" style="20" min="2" max="2"/>
    <col width="8" customWidth="1" style="20" min="3" max="3"/>
    <col width="34" customWidth="1" style="20" min="4" max="4"/>
    <col width="16" customWidth="1" style="20" min="5" max="6"/>
    <col width="11" customWidth="1" style="20" min="7" max="8"/>
    <col width="40" customWidth="1" style="20" min="9" max="9"/>
    <col width="28" customWidth="1" style="20" min="10" max="10"/>
  </cols>
  <sheetData>
    <row r="1" ht="18.5" customHeight="1" s="20">
      <c r="A1" s="19" t="inlineStr">
        <is>
          <t>30-Minute-Per-Day Project Logger &amp; Tracker</t>
        </is>
      </c>
    </row>
    <row r="2">
      <c r="A2" s="1" t="inlineStr">
        <is>
          <t>Project Name</t>
        </is>
      </c>
      <c r="B2" s="2" t="inlineStr">
        <is>
          <t>Ecommerce Operations KPI Project</t>
        </is>
      </c>
      <c r="E2" s="3" t="inlineStr">
        <is>
          <t>Completed Days</t>
        </is>
      </c>
      <c r="F2" s="4">
        <f>COUNTIF(E10:E44,"Completed")</f>
        <v/>
      </c>
      <c r="H2" s="3" t="inlineStr">
        <is>
          <t>Progress Bar</t>
        </is>
      </c>
      <c r="I2" s="22">
        <f>REPT("█",ROUND(F3*20,0))&amp;REPT("░",20-ROUND(F3*20,0))</f>
        <v/>
      </c>
    </row>
    <row r="3">
      <c r="A3" s="1" t="inlineStr">
        <is>
          <t>Start Date</t>
        </is>
      </c>
      <c r="B3" s="5" t="inlineStr">
        <is>
          <t>05/04/2026</t>
        </is>
      </c>
      <c r="E3" s="3" t="inlineStr">
        <is>
          <t>Completion %</t>
        </is>
      </c>
      <c r="F3" s="6">
        <f>IF(B5=0,0,F2/B5)</f>
        <v/>
      </c>
    </row>
    <row r="4">
      <c r="A4" s="1" t="inlineStr">
        <is>
          <t>Planned Daily Minutes</t>
        </is>
      </c>
      <c r="B4" s="2" t="n">
        <v>30</v>
      </c>
      <c r="E4" s="3" t="inlineStr">
        <is>
          <t>Total Time Logged (mins)</t>
        </is>
      </c>
      <c r="F4" s="4">
        <f>SUM(F10:F44)</f>
        <v/>
      </c>
    </row>
    <row r="5">
      <c r="A5" s="1" t="inlineStr">
        <is>
          <t>Planned Days</t>
        </is>
      </c>
      <c r="B5" s="2" t="n">
        <v>35</v>
      </c>
      <c r="E5" s="3" t="inlineStr">
        <is>
          <t>Days Remaining</t>
        </is>
      </c>
      <c r="F5" s="4">
        <f>MAX(B5-F2,0)</f>
        <v/>
      </c>
    </row>
    <row r="7">
      <c r="A7" s="21" t="inlineStr">
        <is>
          <t>Update Status, Time Spent, Notes, and Key Output each day. Planned Date auto-fills from the Start Date.</t>
        </is>
      </c>
    </row>
    <row r="9" ht="29" customHeight="1" s="20">
      <c r="A9" s="7" t="inlineStr">
        <is>
          <t>Day #</t>
        </is>
      </c>
      <c r="B9" s="7" t="inlineStr">
        <is>
          <t>Planned Date</t>
        </is>
      </c>
      <c r="C9" s="7" t="inlineStr">
        <is>
          <t>Week</t>
        </is>
      </c>
      <c r="D9" s="7" t="inlineStr">
        <is>
          <t>Planned Focus</t>
        </is>
      </c>
      <c r="E9" s="7" t="inlineStr">
        <is>
          <t>Status</t>
        </is>
      </c>
      <c r="F9" s="7" t="inlineStr">
        <is>
          <t>Time Spent (mins)</t>
        </is>
      </c>
      <c r="G9" s="7" t="inlineStr">
        <is>
          <t>Started?</t>
        </is>
      </c>
      <c r="H9" s="7" t="inlineStr">
        <is>
          <t>Done?</t>
        </is>
      </c>
      <c r="I9" s="7" t="inlineStr">
        <is>
          <t>Notes</t>
        </is>
      </c>
      <c r="J9" s="7" t="inlineStr">
        <is>
          <t>Key Output</t>
        </is>
      </c>
    </row>
    <row r="10" ht="34" customHeight="1" s="20">
      <c r="A10" s="8" t="n">
        <v>1</v>
      </c>
      <c r="B10" s="9">
        <f>IF($B$3="","",$B$3+A10-1)</f>
        <v/>
      </c>
      <c r="C10" s="8">
        <f>ROUNDUP(A10/7,0)</f>
        <v/>
      </c>
      <c r="D10" s="16" t="inlineStr">
        <is>
          <t>Create folder structure, README.md, requirements.txt, and GitHub repo</t>
        </is>
      </c>
      <c r="E10" s="8" t="inlineStr">
        <is>
          <t>Completed</t>
        </is>
      </c>
      <c r="F10" s="10" t="n">
        <v>30</v>
      </c>
      <c r="G10" s="8">
        <f>IF(OR(E10="In Progress",E10="Completed",F10&gt;0),"Yes","No")</f>
        <v/>
      </c>
      <c r="H10" s="8">
        <f>IF(E10="Completed","Yes","No")</f>
        <v/>
      </c>
      <c r="I10" s="17" t="inlineStr">
        <is>
          <t>Created project folder structure, made README.md and requirements.txt, created GitHub repo, linked local project to GitHub, completed first push successfully.</t>
        </is>
      </c>
      <c r="J10" s="17" t="inlineStr">
        <is>
          <t>Project structure created and GitHub repo connected successfully.</t>
        </is>
      </c>
    </row>
    <row r="11" ht="34" customHeight="1" s="20">
      <c r="A11" s="8" t="n">
        <v>2</v>
      </c>
      <c r="B11" s="9">
        <f>IF($B$3="","",$B$3+A11-1)</f>
        <v/>
      </c>
      <c r="C11" s="8">
        <f>ROUNDUP(A11/7,0)</f>
        <v/>
      </c>
      <c r="D11" s="16" t="inlineStr">
        <is>
          <t>Download dataset and place it in /data; inspect file manually</t>
        </is>
      </c>
      <c r="E11" s="8" t="inlineStr">
        <is>
          <t>Completed</t>
        </is>
      </c>
      <c r="F11" s="10" t="n">
        <v>30</v>
      </c>
      <c r="G11" s="8">
        <f>IF(OR(E11="In Progress",E11="Completed",F11&gt;0),"Yes","No")</f>
        <v/>
      </c>
      <c r="H11" s="8">
        <f>IF(E11="Completed","Yes","No")</f>
        <v/>
      </c>
      <c r="I11" s="17" t="inlineStr">
        <is>
          <t>Saved Online Retail.csv into the data folder and confirmed the file path for the project workflow.</t>
        </is>
      </c>
      <c r="J11" s="17" t="inlineStr">
        <is>
          <t>Raw dataset saved in data/Online Retail.csv.</t>
        </is>
      </c>
    </row>
    <row r="12" ht="34" customHeight="1" s="20">
      <c r="A12" s="8" t="n">
        <v>3</v>
      </c>
      <c r="B12" s="9">
        <f>IF($B$3="","",$B$3+A12-1)</f>
        <v/>
      </c>
      <c r="C12" s="8">
        <f>ROUNDUP(A12/7,0)</f>
        <v/>
      </c>
      <c r="D12" s="16" t="inlineStr">
        <is>
          <t>Open dataset in Python and print shape, columns, and first rows</t>
        </is>
      </c>
      <c r="E12" s="8" t="inlineStr">
        <is>
          <t>Completed</t>
        </is>
      </c>
      <c r="F12" s="10" t="n">
        <v>45</v>
      </c>
      <c r="G12" s="8">
        <f>IF(OR(E12="In Progress",E12="Completed",F12&gt;0),"Yes","No")</f>
        <v/>
      </c>
      <c r="H12" s="8">
        <f>IF(E12="Completed","Yes","No")</f>
        <v/>
      </c>
      <c r="I12" s="18" t="inlineStr">
        <is>
          <t>Created virtual environment, activated it, installed pandas, created src/explore_data.py, and successfully loaded the dataset in Python.</t>
        </is>
      </c>
      <c r="J12" s="18" t="inlineStr">
        <is>
          <t>explore_data.py ran successfully and printed dataset shape, columns, data types, missing values, and first 10 rows.</t>
        </is>
      </c>
    </row>
    <row r="13" ht="34" customHeight="1" s="20">
      <c r="A13" s="8" t="n">
        <v>4</v>
      </c>
      <c r="B13" s="9">
        <f>IF($B$3="","",$B$3+A13-1)</f>
        <v/>
      </c>
      <c r="C13" s="8">
        <f>ROUNDUP(A13/7,0)</f>
        <v/>
      </c>
      <c r="D13" s="16" t="inlineStr">
        <is>
          <t>Check missing values, data types, cancellations, and negative quantities</t>
        </is>
      </c>
      <c r="E13" s="8" t="inlineStr">
        <is>
          <t>Completed</t>
        </is>
      </c>
      <c r="F13" s="10" t="n">
        <v>30</v>
      </c>
      <c r="G13" s="8">
        <f>IF(OR(E13="In Progress",E13="Completed",F13&gt;0),"Yes","No")</f>
        <v/>
      </c>
      <c r="H13" s="8">
        <f>IF(E13="Completed","Yes","No")</f>
        <v/>
      </c>
      <c r="I13" s="18" t="inlineStr">
        <is>
          <t>Reviewed dataset issues from Python output. Identified missing Description and CustomerID values, date stored as text, cancellations/returns indicators, duplicate rows, and pricing anomalies to address in cleaning.</t>
        </is>
      </c>
      <c r="J13" s="18" t="inlineStr">
        <is>
          <t>Main data cleaning issues identified and ready for clean_data.py stage.</t>
        </is>
      </c>
    </row>
    <row r="14" ht="34" customHeight="1" s="20">
      <c r="A14" s="8" t="n">
        <v>5</v>
      </c>
      <c r="B14" s="9">
        <f>IF($B$3="","",$B$3+A14-1)</f>
        <v/>
      </c>
      <c r="C14" s="8">
        <f>ROUNDUP(A14/7,0)</f>
        <v/>
      </c>
      <c r="D14" s="16" t="inlineStr">
        <is>
          <t>Define KPI list and business goal in README</t>
        </is>
      </c>
      <c r="E14" s="8" t="inlineStr">
        <is>
          <t>Completed</t>
        </is>
      </c>
      <c r="F14" s="10" t="n">
        <v>30</v>
      </c>
      <c r="G14" s="8">
        <f>IF(OR(E14="In Progress",E14="Completed",F14&gt;0),"Yes","No")</f>
        <v/>
      </c>
      <c r="H14" s="8">
        <f>IF(E14="Completed","Yes","No")</f>
        <v/>
      </c>
      <c r="I14" s="17" t="inlineStr">
        <is>
          <t>Defined the project business goal, problem statement, and core KPI list. Confirmed the project focus is building a clean retail KPI reporting workflow for sales, orders, cancellations, customer coverage, and product/country analysis.</t>
        </is>
      </c>
      <c r="J14" s="17" t="inlineStr">
        <is>
          <t>Business goal, problem statement, and KPI list finalised in README.md.</t>
        </is>
      </c>
    </row>
    <row r="15" ht="34" customHeight="1" s="20">
      <c r="A15" s="8" t="n">
        <v>6</v>
      </c>
      <c r="B15" s="9">
        <f>IF($B$3="","",$B$3+A15-1)</f>
        <v/>
      </c>
      <c r="C15" s="8">
        <f>ROUNDUP(A15/7,0)</f>
        <v/>
      </c>
      <c r="D15" s="16" t="inlineStr">
        <is>
          <t>Start clean_data.py: load file, parse dates, create Revenue column</t>
        </is>
      </c>
      <c r="E15" s="8" t="inlineStr">
        <is>
          <t>Completed</t>
        </is>
      </c>
      <c r="F15" s="10" t="n">
        <v>30</v>
      </c>
      <c r="G15" s="8">
        <f>IF(OR(E15="In Progress",E15="Completed",F15&gt;0),"Yes","No")</f>
        <v/>
      </c>
      <c r="H15" s="8">
        <f>IF(E15="Completed","Yes","No")</f>
        <v/>
      </c>
      <c r="I15" s="17" t="inlineStr">
        <is>
          <t>Created the first version of clean_data.py. Loaded the raw CSV, converted InvoiceDate to datetime format, created a Revenue column, and saved the first cleaned dataset output.</t>
        </is>
      </c>
      <c r="J15" s="17" t="inlineStr">
        <is>
          <t>Initial cleaned dataset created as data/cleaned_online_retail.csv with parsed dates and Revenue column.</t>
        </is>
      </c>
    </row>
    <row r="16" ht="34" customHeight="1" s="20">
      <c r="A16" s="8" t="n">
        <v>7</v>
      </c>
      <c r="B16" s="9">
        <f>IF($B$3="","",$B$3+A16-1)</f>
        <v/>
      </c>
      <c r="C16" s="8">
        <f>ROUNDUP(A16/7,0)</f>
        <v/>
      </c>
      <c r="D16" s="16" t="inlineStr">
        <is>
          <t>Save first cleaned output and commit changes</t>
        </is>
      </c>
      <c r="E16" s="8" t="inlineStr">
        <is>
          <t>Completed</t>
        </is>
      </c>
      <c r="F16" s="10" t="n">
        <v>20</v>
      </c>
      <c r="G16" s="8">
        <f>IF(OR(E16="In Progress",E16="Completed",F16&gt;0),"Yes","No")</f>
        <v/>
      </c>
      <c r="H16" s="8">
        <f>IF(E16="Completed","Yes","No")</f>
        <v/>
      </c>
      <c r="I16" s="18" t="inlineStr">
        <is>
          <t>Confirmed the first cleaned output file was created and committed the latest project progress to GitHub, including the KPI definitions and the initial data cleaning script.</t>
        </is>
      </c>
      <c r="J16" s="18" t="inlineStr">
        <is>
          <t>Initial cleaning milestone saved to GitHub with clean_data.py and updated README.md.</t>
        </is>
      </c>
    </row>
    <row r="17" ht="34" customHeight="1" s="20">
      <c r="A17" s="8" t="n">
        <v>8</v>
      </c>
      <c r="B17" s="9">
        <f>IF($B$3="","",$B$3+A17-1)</f>
        <v/>
      </c>
      <c r="C17" s="8">
        <f>ROUNDUP(A17/7,0)</f>
        <v/>
      </c>
      <c r="D17" s="16" t="inlineStr">
        <is>
          <t>Identify cancelled orders and choose handling rule</t>
        </is>
      </c>
      <c r="E17" s="8" t="inlineStr">
        <is>
          <t>Completed</t>
        </is>
      </c>
      <c r="F17" s="10" t="n">
        <v>30</v>
      </c>
      <c r="G17" s="8">
        <f>IF(OR(E17="In Progress",E17="Completed",F17&gt;0),"Yes","No")</f>
        <v/>
      </c>
      <c r="H17" s="8">
        <f>IF(E17="Completed","Yes","No")</f>
        <v/>
      </c>
      <c r="I17" s="17" t="inlineStr">
        <is>
          <t>Extended clean_data.py by creating an IsCancelled flag based on invoice numbers starting with C. Generated two outputs: a full cleaned working file and a sales-only cleaned dataset excluding cancelled rows for core KPI analysis.</t>
        </is>
      </c>
      <c r="J17" s="17" t="inlineStr">
        <is>
          <t>Created cleaned_online_retail.csv and cleaned_online_retail_sales_only.csv with cancellation handling applied.</t>
        </is>
      </c>
    </row>
    <row r="18" ht="34" customHeight="1" s="20">
      <c r="A18" s="8" t="n">
        <v>9</v>
      </c>
      <c r="B18" s="9">
        <f>IF($B$3="","",$B$3+A18-1)</f>
        <v/>
      </c>
      <c r="C18" s="8">
        <f>ROUNDUP(A18/7,0)</f>
        <v/>
      </c>
      <c r="D18" s="16" t="inlineStr">
        <is>
          <t>Handle invalid rows: prices, quantities, key missing fields</t>
        </is>
      </c>
      <c r="E18" s="8" t="inlineStr">
        <is>
          <t>Completed</t>
        </is>
      </c>
      <c r="F18" s="10" t="n">
        <v>20</v>
      </c>
      <c r="G18" s="8">
        <f>IF(OR(E18="In Progress",E18="Completed",F18&gt;0),"Yes","No")</f>
        <v/>
      </c>
      <c r="H18" s="8">
        <f>IF(E18="Completed","Yes","No")</f>
        <v/>
      </c>
      <c r="I18" s="17" t="inlineStr">
        <is>
          <t>Added handling for unusable rows by dropping records with missing InvoiceDate, Quantity, or UnitPrice, making the dataset more reliable for downstream KPI analysis.</t>
        </is>
      </c>
      <c r="J18" s="18" t="inlineStr">
        <is>
          <t>Cleaning pipeline now removes rows that cannot support valid reporting logic.</t>
        </is>
      </c>
    </row>
    <row r="19" ht="34" customHeight="1" s="20">
      <c r="A19" s="8" t="n">
        <v>10</v>
      </c>
      <c r="B19" s="9">
        <f>IF($B$3="","",$B$3+A19-1)</f>
        <v/>
      </c>
      <c r="C19" s="8">
        <f>ROUNDUP(A19/7,0)</f>
        <v/>
      </c>
      <c r="D19" s="16" t="inlineStr">
        <is>
          <t>Create month and year_month fields</t>
        </is>
      </c>
      <c r="E19" s="8" t="inlineStr">
        <is>
          <t>Completed</t>
        </is>
      </c>
      <c r="F19" s="10" t="n">
        <v>20</v>
      </c>
      <c r="G19" s="8">
        <f>IF(OR(E19="In Progress",E19="Completed",F19&gt;0),"Yes","No")</f>
        <v/>
      </c>
      <c r="H19" s="8">
        <f>IF(E19="Completed","Yes","No")</f>
        <v/>
      </c>
      <c r="I19" s="15" t="inlineStr">
        <is>
          <t>Created and validated reporting-ready date and revenue fields. Confirmed that InvoiceDate parses correctly for the dataset date range, and added invoice_date, month, year_month, and Revenue for downstream KPI analysis.</t>
        </is>
      </c>
      <c r="J19" s="16" t="inlineStr">
        <is>
          <t>Validated InvoiceDate conversion and added reporting-ready time fields and Revenue for KPI analysis.</t>
        </is>
      </c>
    </row>
    <row r="20" ht="34" customHeight="1" s="20">
      <c r="A20" s="8" t="n">
        <v>11</v>
      </c>
      <c r="B20" s="9">
        <f>IF($B$3="","",$B$3+A20-1)</f>
        <v/>
      </c>
      <c r="C20" s="8">
        <f>ROUNDUP(A20/7,0)</f>
        <v/>
      </c>
      <c r="D20" s="16" t="inlineStr">
        <is>
          <t>Check duplicates and comment code clearly</t>
        </is>
      </c>
      <c r="E20" s="8" t="inlineStr">
        <is>
          <t>Completed</t>
        </is>
      </c>
      <c r="F20" s="10" t="n">
        <v>20</v>
      </c>
      <c r="G20" s="8">
        <f>IF(OR(E20="In Progress",E20="Completed",F20&gt;0),"Yes","No")</f>
        <v/>
      </c>
      <c r="H20" s="8">
        <f>IF(E20="Completed","Yes","No")</f>
        <v/>
      </c>
      <c r="I20" s="16" t="inlineStr">
        <is>
          <t>Checked for exact duplicate rows, removed duplicates where appropriate, and improved the readability of clean_data.py with clearer comments and section headings.</t>
        </is>
      </c>
      <c r="J20" t="inlineStr">
        <is>
          <t>Deduplicated dataset and more clearly commented cleaning workflow.</t>
        </is>
      </c>
    </row>
    <row r="21" ht="34" customHeight="1" s="20">
      <c r="A21" s="8" t="n">
        <v>12</v>
      </c>
      <c r="B21" s="9">
        <f>IF($B$3="","",$B$3+A21-1)</f>
        <v/>
      </c>
      <c r="C21" s="8">
        <f>ROUNDUP(A21/7,0)</f>
        <v/>
      </c>
      <c r="D21" s="16" t="inlineStr">
        <is>
          <t>Save cleaned CSV and document cleaning rules</t>
        </is>
      </c>
      <c r="E21" s="8" t="inlineStr">
        <is>
          <t>Completed</t>
        </is>
      </c>
      <c r="F21" s="10" t="n">
        <v>20</v>
      </c>
      <c r="G21" s="8">
        <f>IF(OR(E21="In Progress",E21="Completed",F21&gt;0),"Yes","No")</f>
        <v/>
      </c>
      <c r="H21" s="8">
        <f>IF(E21="Completed","Yes","No")</f>
        <v/>
      </c>
      <c r="I21" s="16" t="inlineStr">
        <is>
          <t>Expanded the cleaning workflow into a layered pipeline with a master flagged dataset, sales-only dataset, customer-eligible dataset, and a data quality summary output.</t>
        </is>
      </c>
      <c r="J21" s="16" t="inlineStr">
        <is>
          <t>Created cleaned dataset outputs and reports/data_cleaning_notes.md to document the cleaning logic.</t>
        </is>
      </c>
    </row>
    <row r="22" ht="34" customHeight="1" s="20">
      <c r="A22" s="8" t="n">
        <v>13</v>
      </c>
      <c r="B22" s="9">
        <f>IF($B$3="","",$B$3+A22-1)</f>
        <v/>
      </c>
      <c r="C22" s="8">
        <f>ROUNDUP(A22/7,0)</f>
        <v/>
      </c>
      <c r="D22" s="16" t="inlineStr">
        <is>
          <t>Re-run cleaning script from scratch and fix issues</t>
        </is>
      </c>
      <c r="E22" s="8" t="inlineStr">
        <is>
          <t>Completed</t>
        </is>
      </c>
      <c r="F22" s="10" t="n">
        <v>30</v>
      </c>
      <c r="G22" s="8">
        <f>IF(OR(E22="In Progress",E22="Completed",F22&gt;0),"Yes","No")</f>
        <v/>
      </c>
      <c r="H22" s="8">
        <f>IF(E22="Completed","Yes","No")</f>
        <v/>
      </c>
      <c r="I22" s="16" t="inlineStr">
        <is>
          <t>Re-ran and validated the cleaning pipeline outputs. Confirmed that the master, sales-only, customer-eligible, and data-quality summary files were created successfully and that the row counts, date range, subset logic, and revenue totals were internally consistent.</t>
        </is>
      </c>
      <c r="J22" s="16" t="inlineStr">
        <is>
          <t>Validated end-to-end cleaning pipeline and confirmed correct output generation for downstream KPI analysis.</t>
        </is>
      </c>
    </row>
    <row r="23" ht="34" customHeight="1" s="20">
      <c r="A23" s="8" t="n">
        <v>14</v>
      </c>
      <c r="B23" s="9">
        <f>IF($B$3="","",$B$3+A23-1)</f>
        <v/>
      </c>
      <c r="C23" s="8">
        <f>ROUNDUP(A23/7,0)</f>
        <v/>
      </c>
      <c r="D23" s="16" t="inlineStr">
        <is>
          <t>Push cleaned workflow to GitHub and update README</t>
        </is>
      </c>
      <c r="E23" s="8" t="inlineStr">
        <is>
          <t>Completed</t>
        </is>
      </c>
      <c r="F23" s="10" t="n">
        <v>5</v>
      </c>
      <c r="G23" s="8">
        <f>IF(OR(E23="In Progress",E23="Completed",F23&gt;0),"Yes","No")</f>
        <v/>
      </c>
      <c r="H23" s="8">
        <f>IF(E23="Completed","Yes","No")</f>
        <v/>
      </c>
      <c r="I23" s="16" t="inlineStr">
        <is>
          <t>Updated the README to reflect the completed and validated cleaning stage, added cleaning documentation, and pushed the cleaned workflow and project documentation to GitHub. Improved .gitignore to exclude local SQLite database files.</t>
        </is>
      </c>
      <c r="J23" s="16" t="inlineStr">
        <is>
          <t>Recruiter-facing repo documentation updated and cleaned workflow pushed to GitHub.</t>
        </is>
      </c>
    </row>
    <row r="24" ht="34" customHeight="1" s="20">
      <c r="A24" s="8" t="n">
        <v>15</v>
      </c>
      <c r="B24" s="9">
        <f>IF($B$3="","",$B$3+A24-1)</f>
        <v/>
      </c>
      <c r="C24" s="8">
        <f>ROUNDUP(A24/7,0)</f>
        <v/>
      </c>
      <c r="D24" s="16" t="inlineStr">
        <is>
          <t>Choose SQL setup and create database/table</t>
        </is>
      </c>
      <c r="E24" s="8" t="inlineStr">
        <is>
          <t>Completed</t>
        </is>
      </c>
      <c r="F24" s="10" t="n">
        <v>5</v>
      </c>
      <c r="G24" s="8">
        <f>IF(OR(E24="In Progress",E24="Completed",F24&gt;0),"Yes","No")</f>
        <v/>
      </c>
      <c r="H24" s="8">
        <f>IF(E24="Completed","Yes","No")</f>
        <v/>
      </c>
      <c r="I24" s="16" t="inlineStr">
        <is>
          <t>Chose SQLite as the SQL tool for the project, confirmed the local SQLite executable works, and created the local database file data/ecommerce_kpis.db in preparation for loading cleaned data.</t>
        </is>
      </c>
      <c r="J24" s="16" t="inlineStr">
        <is>
          <t>Local SQLite database created for the KPI reporting project.</t>
        </is>
      </c>
    </row>
    <row r="25" ht="34" customHeight="1" s="20">
      <c r="A25" s="8" t="n">
        <v>16</v>
      </c>
      <c r="B25" s="9">
        <f>IF($B$3="","",$B$3+A25-1)</f>
        <v/>
      </c>
      <c r="C25" s="8">
        <f>ROUNDUP(A25/7,0)</f>
        <v/>
      </c>
      <c r="D25" s="16" t="inlineStr">
        <is>
          <t>Load cleaned data into SQL and verify row count</t>
        </is>
      </c>
      <c r="E25" s="8" t="inlineStr">
        <is>
          <t>Completed</t>
        </is>
      </c>
      <c r="F25" s="10" t="n">
        <v>5</v>
      </c>
      <c r="G25" s="8">
        <f>IF(OR(E25="In Progress",E25="Completed",F25&gt;0),"Yes","No")</f>
        <v/>
      </c>
      <c r="H25" s="8">
        <f>IF(E25="Completed","Yes","No")</f>
        <v/>
      </c>
      <c r="I25" s="16" t="inlineStr">
        <is>
          <t>Created a reproducible Python loading script to load the cleaned sales dataset into SQLite, created the sales_only_retail table in data/ecommerce_kpis.db, and confirmed that the SQLite row count matched the cleaned CSV row count.</t>
        </is>
      </c>
      <c r="J25" s="16" t="inlineStr">
        <is>
          <t>Loaded sales_only_retail.csv into SQLite and validated row-count consistency.</t>
        </is>
      </c>
    </row>
    <row r="26" ht="34" customHeight="1" s="20">
      <c r="A26" s="8" t="n">
        <v>17</v>
      </c>
      <c r="B26" s="9">
        <f>IF($B$3="","",$B$3+A26-1)</f>
        <v/>
      </c>
      <c r="C26" s="8">
        <f>ROUNDUP(A26/7,0)</f>
        <v/>
      </c>
      <c r="D26" s="16" t="inlineStr">
        <is>
          <t>Write SQL query for total revenue and total orders</t>
        </is>
      </c>
      <c r="E26" s="8" t="inlineStr">
        <is>
          <t>Completed</t>
        </is>
      </c>
      <c r="F26" s="10" t="n">
        <v>5</v>
      </c>
      <c r="G26" s="8">
        <f>IF(OR(E26="In Progress",E26="Completed",F26&gt;0),"Yes","No")</f>
        <v/>
      </c>
      <c r="H26" s="8">
        <f>IF(E26="Completed","Yes","No")</f>
        <v/>
      </c>
      <c r="I26" s="16" t="inlineStr">
        <is>
          <t>Created the first SQL KPI query file and added initial KPI queries for total revenue and total orders using the sales_only_retail table in SQLite.</t>
        </is>
      </c>
      <c r="J26" s="16" t="inlineStr">
        <is>
          <t>Created sql/kpi_queries.sql with total revenue and total orders queries.</t>
        </is>
      </c>
    </row>
    <row r="27" ht="34" customHeight="1" s="20">
      <c r="A27" s="8" t="n">
        <v>18</v>
      </c>
      <c r="B27" s="9">
        <f>IF($B$3="","",$B$3+A27-1)</f>
        <v/>
      </c>
      <c r="C27" s="8">
        <f>ROUNDUP(A27/7,0)</f>
        <v/>
      </c>
      <c r="D27" s="16" t="inlineStr">
        <is>
          <t>Write SQL query for average order value and monthly revenue</t>
        </is>
      </c>
      <c r="E27" s="8" t="inlineStr">
        <is>
          <t>Completed</t>
        </is>
      </c>
      <c r="F27" s="10" t="n">
        <v>15</v>
      </c>
      <c r="G27" s="8">
        <f>IF(OR(E27="In Progress",E27="Completed",F27&gt;0),"Yes","No")</f>
        <v/>
      </c>
      <c r="H27" s="8">
        <f>IF(E27="Completed","Yes","No")</f>
        <v/>
      </c>
      <c r="I27" s="16" t="inlineStr">
        <is>
          <t>Added SQL queries for average order value and monthly revenue trend using the sales_only_retail table in SQLite.</t>
        </is>
      </c>
      <c r="J27" s="16" t="inlineStr">
        <is>
          <t>Added AOV and monthly revenue trend queries to sql/kpi_queries.sql.
What comes next</t>
        </is>
      </c>
    </row>
    <row r="28" ht="34" customHeight="1" s="20">
      <c r="A28" s="8" t="n">
        <v>19</v>
      </c>
      <c r="B28" s="9">
        <f>IF($B$3="","",$B$3+A28-1)</f>
        <v/>
      </c>
      <c r="C28" s="8">
        <f>ROUNDUP(A28/7,0)</f>
        <v/>
      </c>
      <c r="D28" s="16" t="inlineStr">
        <is>
          <t>Write SQL query for top countries and top products</t>
        </is>
      </c>
      <c r="E28" s="8" t="inlineStr">
        <is>
          <t>Completed</t>
        </is>
      </c>
      <c r="F28" s="10" t="n">
        <v>15</v>
      </c>
      <c r="G28" s="8">
        <f>IF(OR(E28="In Progress",E28="Completed",F28&gt;0),"Yes","No")</f>
        <v/>
      </c>
      <c r="H28" s="8">
        <f>IF(E28="Completed","Yes","No")</f>
        <v/>
      </c>
      <c r="I28" s="16" t="inlineStr">
        <is>
          <t>Added SQL queries for top countries by revenue and top products by revenue using the sales_only_retail table in SQLite.</t>
        </is>
      </c>
      <c r="J28" s="16" t="inlineStr">
        <is>
          <t>Added top-country and top-product revenue queries to sql/kpi_queries.sql.</t>
        </is>
      </c>
    </row>
    <row r="29" ht="34" customHeight="1" s="20">
      <c r="A29" s="8" t="n">
        <v>20</v>
      </c>
      <c r="B29" s="9">
        <f>IF($B$3="","",$B$3+A29-1)</f>
        <v/>
      </c>
      <c r="C29" s="8">
        <f>ROUNDUP(A29/7,0)</f>
        <v/>
      </c>
      <c r="D29" s="16" t="inlineStr">
        <is>
          <t>Write SQL query for cancellations/returns analysis</t>
        </is>
      </c>
      <c r="E29" s="8" t="inlineStr">
        <is>
          <t>Completed</t>
        </is>
      </c>
      <c r="F29" s="10" t="n">
        <v>15</v>
      </c>
      <c r="G29" s="8">
        <f>IF(OR(E29="In Progress",E29="Completed",F29&gt;0),"Yes","No")</f>
        <v/>
      </c>
      <c r="H29" s="8">
        <f>IF(E29="Completed","Yes","No")</f>
        <v/>
      </c>
      <c r="I29" s="16" t="inlineStr">
        <is>
          <t>Loaded the flagged master dataset into SQLite and added cancellation-focused SQL queries using the master_flagged_retail table.</t>
        </is>
      </c>
      <c r="J29" s="16" t="inlineStr">
        <is>
          <t>Added cancellation count and cancellation rate queries to sql/kpi_queries.sql.</t>
        </is>
      </c>
    </row>
    <row r="30" ht="34" customHeight="1" s="20">
      <c r="A30" s="8" t="n">
        <v>21</v>
      </c>
      <c r="B30" s="9">
        <f>IF($B$3="","",$B$3+A30-1)</f>
        <v/>
      </c>
      <c r="C30" s="8">
        <f>ROUNDUP(A30/7,0)</f>
        <v/>
      </c>
      <c r="D30" s="16" t="inlineStr">
        <is>
          <t>Test and tidy all SQL queries with comments</t>
        </is>
      </c>
      <c r="E30" s="8" t="inlineStr">
        <is>
          <t>Completed</t>
        </is>
      </c>
      <c r="F30" s="10" t="n">
        <v>15</v>
      </c>
      <c r="G30" s="8">
        <f>IF(OR(E30="In Progress",E30="Completed",F30&gt;0),"Yes","No")</f>
        <v/>
      </c>
      <c r="H30" s="8">
        <f>IF(E30="Completed","Yes","No")</f>
        <v/>
      </c>
      <c r="I30" s="16" t="inlineStr">
        <is>
          <t>Tested all KPI SQL queries, confirmed they ran successfully, and kept the query file clearly commented and consistently formatted.</t>
        </is>
      </c>
      <c r="J30" s="16" t="inlineStr">
        <is>
          <t>Validated sql/kpi_queries.sql with working KPI queries.</t>
        </is>
      </c>
    </row>
    <row r="31" ht="34" customHeight="1" s="20">
      <c r="A31" s="8" t="n">
        <v>22</v>
      </c>
      <c r="B31" s="9">
        <f>IF($B$3="","",$B$3+A31-1)</f>
        <v/>
      </c>
      <c r="C31" s="8">
        <f>ROUNDUP(A31/7,0)</f>
        <v/>
      </c>
      <c r="D31" s="16" t="inlineStr">
        <is>
          <t>Run KPI queries and collect outputs</t>
        </is>
      </c>
      <c r="E31" s="8" t="inlineStr">
        <is>
          <t>Completed</t>
        </is>
      </c>
      <c r="F31" s="10" t="n">
        <v>20</v>
      </c>
      <c r="G31" s="8">
        <f>IF(OR(E31="In Progress",E31="Completed",F31&gt;0),"Yes","No")</f>
        <v/>
      </c>
      <c r="H31" s="8">
        <f>IF(E31="Completed","Yes","No")</f>
        <v/>
      </c>
      <c r="I31" s="16" t="inlineStr">
        <is>
          <t>Ran the completed SQL KPI queries and collected the core outputs for revenue, orders, average order value, cancellations, country revenue, and monthly revenue trend.</t>
        </is>
      </c>
      <c r="J31" s="16" t="inlineStr">
        <is>
          <t>KPI outputs collected: GBP 9.35m revenue, 19,549 orders, GBP 478.06 AOV, 9,251 cancellations, 1.72% cancellation rate, UK top country, November 2011 top month.</t>
        </is>
      </c>
    </row>
    <row r="32" ht="34" customHeight="1" s="20">
      <c r="A32" s="8" t="n">
        <v>23</v>
      </c>
      <c r="B32" s="9">
        <f>IF($B$3="","",$B$3+A32-1)</f>
        <v/>
      </c>
      <c r="C32" s="8">
        <f>ROUNDUP(A32/7,0)</f>
        <v/>
      </c>
      <c r="D32" s="16" t="inlineStr">
        <is>
          <t>Choose 5–8 findings and draft analysis summary</t>
        </is>
      </c>
      <c r="E32" s="8" t="inlineStr">
        <is>
          <t>Completed</t>
        </is>
      </c>
      <c r="F32" s="10" t="n">
        <v>25</v>
      </c>
      <c r="G32" s="8">
        <f>IF(OR(E32="In Progress",E32="Completed",F32&gt;0),"Yes","No")</f>
        <v/>
      </c>
      <c r="H32" s="8">
        <f>IF(E32="Completed","Yes","No")</f>
        <v/>
      </c>
      <c r="I32" s="16" t="inlineStr">
        <is>
          <t>Selected the main business findings from the SQL outputs, focusing on revenue baseline, UK revenue concentration, monthly trend, cancellation tracking, and customer ID limitations.</t>
        </is>
      </c>
      <c r="J32" s="16" t="inlineStr">
        <is>
          <t>Business findings prepared for final project summary.</t>
        </is>
      </c>
    </row>
    <row r="33" ht="34" customHeight="1" s="20">
      <c r="A33" s="8" t="n">
        <v>24</v>
      </c>
      <c r="B33" s="9">
        <f>IF($B$3="","",$B$3+A33-1)</f>
        <v/>
      </c>
      <c r="C33" s="8">
        <f>ROUNDUP(A33/7,0)</f>
        <v/>
      </c>
      <c r="D33" s="16" t="inlineStr">
        <is>
          <t>Create 1–2 simple charts in Python</t>
        </is>
      </c>
      <c r="E33" s="8" t="inlineStr">
        <is>
          <t>Completed</t>
        </is>
      </c>
      <c r="F33" s="10" t="n">
        <v>30</v>
      </c>
      <c r="G33" s="8">
        <f>IF(OR(E33="In Progress",E33="Completed",F33&gt;0),"Yes","No")</f>
        <v/>
      </c>
      <c r="H33" s="8">
        <f>IF(E33="Completed","Yes","No")</f>
        <v/>
      </c>
      <c r="I33" s="16" t="inlineStr">
        <is>
          <t>Created Python chart generation script using pandas and matplotlib for monthly revenue trend and top countries by revenue.</t>
        </is>
      </c>
      <c r="J33" s="16" t="inlineStr">
        <is>
          <t>Created src/create_charts.py and generated monthly_revenue_trend.png and top_countries_by_revenue.png.</t>
        </is>
      </c>
    </row>
    <row r="34" ht="34" customHeight="1" s="20">
      <c r="A34" s="8" t="n">
        <v>25</v>
      </c>
      <c r="B34" s="9">
        <f>IF($B$3="","",$B$3+A34-1)</f>
        <v/>
      </c>
      <c r="C34" s="8">
        <f>ROUNDUP(A34/7,0)</f>
        <v/>
      </c>
      <c r="D34" s="16" t="inlineStr">
        <is>
          <t>Save charts to docs/reports and reference them in README</t>
        </is>
      </c>
      <c r="E34" s="8" t="inlineStr">
        <is>
          <t>Completed</t>
        </is>
      </c>
      <c r="F34" s="10" t="n">
        <v>20</v>
      </c>
      <c r="G34" s="8">
        <f>IF(OR(E34="In Progress",E34="Completed",F34&gt;0),"Yes","No")</f>
        <v/>
      </c>
      <c r="H34" s="8">
        <f>IF(E34="Completed","Yes","No")</f>
        <v/>
      </c>
      <c r="I34" s="16" t="inlineStr">
        <is>
          <t>Saved chart outputs in reports/charts and referenced them in the project documentation for recruiter-facing presentation.</t>
        </is>
      </c>
      <c r="J34" s="16" t="inlineStr">
        <is>
          <t>Chart outputs added to the reporting folder and referenced in README.md and final_summary.md.</t>
        </is>
      </c>
    </row>
    <row r="35" ht="34" customHeight="1" s="20">
      <c r="A35" s="8" t="n">
        <v>26</v>
      </c>
      <c r="B35" s="9">
        <f>IF($B$3="","",$B$3+A35-1)</f>
        <v/>
      </c>
      <c r="C35" s="8">
        <f>ROUNDUP(A35/7,0)</f>
        <v/>
      </c>
      <c r="D35" s="16" t="inlineStr">
        <is>
          <t>Write final_summary.md with findings and recommendations</t>
        </is>
      </c>
      <c r="E35" s="8" t="inlineStr">
        <is>
          <t>Completed</t>
        </is>
      </c>
      <c r="F35" s="10" t="n">
        <v>30</v>
      </c>
      <c r="G35" s="8">
        <f>IF(OR(E35="In Progress",E35="Completed",F35&gt;0),"Yes","No")</f>
        <v/>
      </c>
      <c r="H35" s="8">
        <f>IF(E35="Completed","Yes","No")</f>
        <v/>
      </c>
      <c r="I35" s="16" t="inlineStr">
        <is>
          <t>Created the final business summary covering dataset overview, business problem, cleaning approach, SQL KPI results, chart outputs, business findings, limitations, and future improvements.</t>
        </is>
      </c>
      <c r="J35" s="16" t="inlineStr">
        <is>
          <t>Created reports/final_summary.md as the final project report.</t>
        </is>
      </c>
    </row>
    <row r="36" ht="34" customHeight="1" s="20">
      <c r="A36" s="8" t="n">
        <v>27</v>
      </c>
      <c r="B36" s="9">
        <f>IF($B$3="","",$B$3+A36-1)</f>
        <v/>
      </c>
      <c r="C36" s="8">
        <f>ROUNDUP(A36/7,0)</f>
        <v/>
      </c>
      <c r="D36" s="16" t="inlineStr">
        <is>
          <t>Improve README structure and repo walkthrough</t>
        </is>
      </c>
      <c r="E36" s="8" t="inlineStr">
        <is>
          <t>Completed</t>
        </is>
      </c>
      <c r="F36" s="10" t="n">
        <v>25</v>
      </c>
      <c r="G36" s="8">
        <f>IF(OR(E36="In Progress",E36="Completed",F36&gt;0),"Yes","No")</f>
        <v/>
      </c>
      <c r="H36" s="8">
        <f>IF(E36="Completed","Yes","No")</f>
        <v/>
      </c>
      <c r="I36" s="16" t="inlineStr">
        <is>
          <t>Improved README structure so it reflects the completed Python, SQLite, SQL, and chart reporting workflow.</t>
        </is>
      </c>
      <c r="J36" s="16" t="inlineStr">
        <is>
          <t>README.md updated to describe the completed project, tools, outputs, reporting charts, and next steps.</t>
        </is>
      </c>
    </row>
    <row r="37" ht="34" customHeight="1" s="20">
      <c r="A37" s="8" t="n">
        <v>28</v>
      </c>
      <c r="B37" s="9">
        <f>IF($B$3="","",$B$3+A37-1)</f>
        <v/>
      </c>
      <c r="C37" s="8">
        <f>ROUNDUP(A37/7,0)</f>
        <v/>
      </c>
      <c r="D37" s="16" t="inlineStr">
        <is>
          <t>Review repo from recruiter perspective and tidy presentation</t>
        </is>
      </c>
      <c r="E37" s="8" t="inlineStr">
        <is>
          <t>Completed</t>
        </is>
      </c>
      <c r="F37" s="10" t="n">
        <v>25</v>
      </c>
      <c r="G37" s="8">
        <f>IF(OR(E37="In Progress",E37="Completed",F37&gt;0),"Yes","No")</f>
        <v/>
      </c>
      <c r="H37" s="8">
        <f>IF(E37="Completed","Yes","No")</f>
        <v/>
      </c>
      <c r="I37" s="16" t="inlineStr">
        <is>
          <t>Reviewed the repository from a recruiter perspective and improved the business story around revenue trend, country concentration, and operational KPI reporting.</t>
        </is>
      </c>
      <c r="J37" s="16" t="inlineStr">
        <is>
          <t>Recruiter-facing documentation strengthened and chart explanations added.</t>
        </is>
      </c>
    </row>
    <row r="38" ht="34" customHeight="1" s="20">
      <c r="A38" s="8" t="n">
        <v>29</v>
      </c>
      <c r="B38" s="9">
        <f>IF($B$3="","",$B$3+A38-1)</f>
        <v/>
      </c>
      <c r="C38" s="8">
        <f>ROUNDUP(A38/7,0)</f>
        <v/>
      </c>
      <c r="D38" s="16" t="inlineStr">
        <is>
          <t>Draft 3 CV bullet points from the project</t>
        </is>
      </c>
      <c r="E38" s="8" t="inlineStr">
        <is>
          <t>Completed</t>
        </is>
      </c>
      <c r="F38" s="10" t="n">
        <v>15</v>
      </c>
      <c r="G38" s="8">
        <f>IF(OR(E38="In Progress",E38="Completed",F38&gt;0),"Yes","No")</f>
        <v/>
      </c>
      <c r="H38" s="8">
        <f>IF(E38="Completed","Yes","No")</f>
        <v/>
      </c>
      <c r="I38" s="16" t="inlineStr">
        <is>
          <t>Drafted CV-ready project wording based on the completed KPI reporting pipeline and business outputs.</t>
        </is>
      </c>
      <c r="J38" s="16" t="inlineStr">
        <is>
          <t>CV-ready talking points prepared from the project workflow and results.</t>
        </is>
      </c>
    </row>
    <row r="39" ht="34" customHeight="1" s="20">
      <c r="A39" s="8" t="n">
        <v>30</v>
      </c>
      <c r="B39" s="9">
        <f>IF($B$3="","",$B$3+A39-1)</f>
        <v/>
      </c>
      <c r="C39" s="8">
        <f>ROUNDUP(A39/7,0)</f>
        <v/>
      </c>
      <c r="D39" s="16" t="inlineStr">
        <is>
          <t>Write 30-second interview explanation of the project</t>
        </is>
      </c>
      <c r="E39" s="8" t="inlineStr">
        <is>
          <t>Completed</t>
        </is>
      </c>
      <c r="F39" s="10" t="n">
        <v>15</v>
      </c>
      <c r="G39" s="8">
        <f>IF(OR(E39="In Progress",E39="Completed",F39&gt;0),"Yes","No")</f>
        <v/>
      </c>
      <c r="H39" s="8">
        <f>IF(E39="Completed","Yes","No")</f>
        <v/>
      </c>
      <c r="I39" s="16" t="inlineStr">
        <is>
          <t>Prepared a short interview explanation of the project, covering the business problem, tools used, and core KPI outputs.</t>
        </is>
      </c>
      <c r="J39" s="16" t="inlineStr">
        <is>
          <t>30-second interview explanation prepared.</t>
        </is>
      </c>
    </row>
    <row r="40" ht="34" customHeight="1" s="20">
      <c r="A40" s="8" t="n">
        <v>31</v>
      </c>
      <c r="B40" s="9">
        <f>IF($B$3="","",$B$3+A40-1)</f>
        <v/>
      </c>
      <c r="C40" s="8">
        <f>ROUNDUP(A40/7,0)</f>
        <v/>
      </c>
      <c r="D40" s="16" t="inlineStr">
        <is>
          <t>Write 60-second explanation covering dataset, cleaning, and insights</t>
        </is>
      </c>
      <c r="E40" s="8" t="inlineStr">
        <is>
          <t>Completed</t>
        </is>
      </c>
      <c r="F40" s="10" t="n">
        <v>20</v>
      </c>
      <c r="G40" s="8">
        <f>IF(OR(E40="In Progress",E40="Completed",F40&gt;0),"Yes","No")</f>
        <v/>
      </c>
      <c r="H40" s="8">
        <f>IF(E40="Completed","Yes","No")</f>
        <v/>
      </c>
      <c r="I40" s="16" t="inlineStr">
        <is>
          <t>Prepared a longer interview explanation covering the dataset, cleaning process, SQL KPI analysis, charts, findings, and limitations.</t>
        </is>
      </c>
      <c r="J40" s="16" t="inlineStr">
        <is>
          <t>60-second interview explanation prepared.</t>
        </is>
      </c>
    </row>
    <row r="41" ht="34" customHeight="1" s="20">
      <c r="A41" s="8" t="n">
        <v>32</v>
      </c>
      <c r="B41" s="9">
        <f>IF($B$3="","",$B$3+A41-1)</f>
        <v/>
      </c>
      <c r="C41" s="8">
        <f>ROUNDUP(A41/7,0)</f>
        <v/>
      </c>
      <c r="D41" s="16" t="inlineStr">
        <is>
          <t>Refactor Python code and clean filenames/folders</t>
        </is>
      </c>
      <c r="E41" s="8" t="inlineStr">
        <is>
          <t>Completed</t>
        </is>
      </c>
      <c r="F41" s="10" t="n">
        <v>20</v>
      </c>
      <c r="G41" s="8">
        <f>IF(OR(E41="In Progress",E41="Completed",F41&gt;0),"Yes","No")</f>
        <v/>
      </c>
      <c r="H41" s="8">
        <f>IF(E41="Completed","Yes","No")</f>
        <v/>
      </c>
      <c r="I41" s="16" t="inlineStr">
        <is>
          <t>Reviewed Python scripts and confirmed the project uses clear filenames, folder structure, and a reproducible chart generation script.</t>
        </is>
      </c>
      <c r="J41" s="16" t="inlineStr">
        <is>
          <t>Python scripts validated: clean_data.py, load_sqlite.py, and create_charts.py.</t>
        </is>
      </c>
    </row>
    <row r="42" ht="34" customHeight="1" s="20">
      <c r="A42" s="8" t="n">
        <v>33</v>
      </c>
      <c r="B42" s="9">
        <f>IF($B$3="","",$B$3+A42-1)</f>
        <v/>
      </c>
      <c r="C42" s="8">
        <f>ROUNDUP(A42/7,0)</f>
        <v/>
      </c>
      <c r="D42" s="16" t="inlineStr">
        <is>
          <t>Refine SQL naming and professionalism</t>
        </is>
      </c>
      <c r="E42" s="8" t="inlineStr">
        <is>
          <t>Completed</t>
        </is>
      </c>
      <c r="F42" s="10" t="n">
        <v>15</v>
      </c>
      <c r="G42" s="8">
        <f>IF(OR(E42="In Progress",E42="Completed",F42&gt;0),"Yes","No")</f>
        <v/>
      </c>
      <c r="H42" s="8">
        <f>IF(E42="Completed","Yes","No")</f>
        <v/>
      </c>
      <c r="I42" s="16" t="inlineStr">
        <is>
          <t>Reviewed SQL query file naming, comments, and KPI coverage for professional presentation.</t>
        </is>
      </c>
      <c r="J42" s="16" t="inlineStr">
        <is>
          <t>sql/kpi_queries.sql confirmed as clear, commented, and complete for the main KPI outputs.</t>
        </is>
      </c>
    </row>
    <row r="43" ht="34" customHeight="1" s="20">
      <c r="A43" s="8" t="n">
        <v>34</v>
      </c>
      <c r="B43" s="9">
        <f>IF($B$3="","",$B$3+A43-1)</f>
        <v/>
      </c>
      <c r="C43" s="8">
        <f>ROUNDUP(A43/7,0)</f>
        <v/>
      </c>
      <c r="D43" s="16" t="inlineStr">
        <is>
          <t>Add realistic future improvements section to README</t>
        </is>
      </c>
      <c r="E43" s="8" t="inlineStr">
        <is>
          <t>Completed</t>
        </is>
      </c>
      <c r="F43" s="10" t="n">
        <v>15</v>
      </c>
      <c r="G43" s="8">
        <f>IF(OR(E43="In Progress",E43="Completed",F43&gt;0),"Yes","No")</f>
        <v/>
      </c>
      <c r="H43" s="8">
        <f>IF(E43="Completed","Yes","No")</f>
        <v/>
      </c>
      <c r="I43" s="16" t="inlineStr">
        <is>
          <t>Added realistic future improvements to the final documentation without expanding the project into dashboards, forecasting, or machine learning.</t>
        </is>
      </c>
      <c r="J43" s="16" t="inlineStr">
        <is>
          <t>Future improvements documented in README.md and reports/final_summary.md.</t>
        </is>
      </c>
    </row>
    <row r="44" ht="34" customHeight="1" s="20">
      <c r="A44" s="8" t="n">
        <v>35</v>
      </c>
      <c r="B44" s="9">
        <f>IF($B$3="","",$B$3+A44-1)</f>
        <v/>
      </c>
      <c r="C44" s="8">
        <f>ROUNDUP(A44/7,0)</f>
        <v/>
      </c>
      <c r="D44" s="16" t="inlineStr">
        <is>
          <t>Final review: publish repo and add link to CV/LinkedIn draft</t>
        </is>
      </c>
      <c r="E44" s="8" t="inlineStr">
        <is>
          <t>Completed</t>
        </is>
      </c>
      <c r="F44" s="10" t="n">
        <v>30</v>
      </c>
      <c r="G44" s="8">
        <f>IF(OR(E44="In Progress",E44="Completed",F44&gt;0),"Yes","No")</f>
        <v/>
      </c>
      <c r="H44" s="8">
        <f>IF(E44="Completed","Yes","No")</f>
        <v/>
      </c>
      <c r="I44" s="16" t="inlineStr">
        <is>
          <t>Ran final project validation checks and confirmed key files, reports, charts, scripts, and SQL queries are present for final GitHub presentation.</t>
        </is>
      </c>
      <c r="J44" s="16" t="inlineStr">
        <is>
          <t>Final repo review completed; project ready for final presentation after committing tracker update.</t>
        </is>
      </c>
    </row>
    <row r="47">
      <c r="A47" s="23" t="inlineStr">
        <is>
          <t>Weekly Summary</t>
        </is>
      </c>
    </row>
    <row r="48">
      <c r="A48" s="11" t="inlineStr">
        <is>
          <t>Week</t>
        </is>
      </c>
      <c r="B48" s="11" t="inlineStr">
        <is>
          <t>Planned Days</t>
        </is>
      </c>
      <c r="C48" s="11" t="inlineStr">
        <is>
          <t>Completed Days</t>
        </is>
      </c>
      <c r="D48" s="11" t="inlineStr">
        <is>
          <t>Completion %</t>
        </is>
      </c>
      <c r="E48" s="11" t="inlineStr">
        <is>
          <t>Minutes Logged</t>
        </is>
      </c>
      <c r="F48" s="11" t="inlineStr">
        <is>
          <t>Comment</t>
        </is>
      </c>
    </row>
    <row r="49">
      <c r="A49" t="n">
        <v>1</v>
      </c>
      <c r="B49" t="n">
        <v>7</v>
      </c>
      <c r="C49">
        <f>COUNTIFS($C$10:$C$44,A49,$E$10:$E$44,"Completed")</f>
        <v/>
      </c>
      <c r="D49" s="12">
        <f>C49/B49</f>
        <v/>
      </c>
      <c r="E49">
        <f>SUMIFS($F$10:$F$44,$C$10:$C$44,A49)</f>
        <v/>
      </c>
    </row>
    <row r="50">
      <c r="A50" t="n">
        <v>2</v>
      </c>
      <c r="B50" t="n">
        <v>7</v>
      </c>
      <c r="C50">
        <f>COUNTIFS($C$10:$C$44,A50,$E$10:$E$44,"Completed")</f>
        <v/>
      </c>
      <c r="D50" s="12">
        <f>C50/B50</f>
        <v/>
      </c>
      <c r="E50">
        <f>SUMIFS($F$10:$F$44,$C$10:$C$44,A50)</f>
        <v/>
      </c>
    </row>
    <row r="51">
      <c r="A51" t="n">
        <v>3</v>
      </c>
      <c r="B51" t="n">
        <v>7</v>
      </c>
      <c r="C51">
        <f>COUNTIFS($C$10:$C$44,A51,$E$10:$E$44,"Completed")</f>
        <v/>
      </c>
      <c r="D51" s="12">
        <f>C51/B51</f>
        <v/>
      </c>
      <c r="E51">
        <f>SUMIFS($F$10:$F$44,$C$10:$C$44,A51)</f>
        <v/>
      </c>
    </row>
    <row r="52">
      <c r="A52" t="n">
        <v>4</v>
      </c>
      <c r="B52" t="n">
        <v>7</v>
      </c>
      <c r="C52">
        <f>COUNTIFS($C$10:$C$44,A52,$E$10:$E$44,"Completed")</f>
        <v/>
      </c>
      <c r="D52" s="12">
        <f>C52/B52</f>
        <v/>
      </c>
      <c r="E52">
        <f>SUMIFS($F$10:$F$44,$C$10:$C$44,A52)</f>
        <v/>
      </c>
    </row>
    <row r="53">
      <c r="A53" t="n">
        <v>5</v>
      </c>
      <c r="B53" t="n">
        <v>7</v>
      </c>
      <c r="C53">
        <f>COUNTIFS($C$10:$C$44,A53,$E$10:$E$44,"Completed")</f>
        <v/>
      </c>
      <c r="D53" s="12">
        <f>C53/B53</f>
        <v/>
      </c>
      <c r="E53">
        <f>SUMIFS($F$10:$F$44,$C$10:$C$44,A53)</f>
        <v/>
      </c>
    </row>
  </sheetData>
  <mergeCells count="4">
    <mergeCell ref="A1:J1"/>
    <mergeCell ref="A7:J7"/>
    <mergeCell ref="I2:J2"/>
    <mergeCell ref="A47:F47"/>
  </mergeCells>
  <conditionalFormatting sqref="E10:E44">
    <cfRule type="expression" priority="1" dxfId="0">
      <formula>E10="Completed"</formula>
    </cfRule>
    <cfRule type="expression" priority="2" dxfId="2">
      <formula>E10="In Progress"</formula>
    </cfRule>
    <cfRule type="expression" priority="3" dxfId="1">
      <formula>E10="Blocked"</formula>
    </cfRule>
  </conditionalFormatting>
  <conditionalFormatting sqref="H10:H44">
    <cfRule type="expression" priority="4" dxfId="0">
      <formula>H10="Yes"</formula>
    </cfRule>
  </conditionalFormatting>
  <dataValidations count="1">
    <dataValidation sqref="E10:E44" showDropDown="0" showInputMessage="0" showErrorMessage="0" allowBlank="0" type="list">
      <formula1>"Not Started,In Progress,Completed,Blocked"</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4.5"/>
  <cols>
    <col width="110" customWidth="1" style="20" min="1" max="1"/>
  </cols>
  <sheetData>
    <row r="1">
      <c r="A1" s="13" t="inlineStr">
        <is>
          <t>How to use this tracker</t>
        </is>
      </c>
    </row>
    <row r="2" ht="28" customHeight="1" s="20">
      <c r="A2" s="14" t="inlineStr">
        <is>
          <t>1. Edit the blue input cells on the Tracker sheet: Project Name, Start Date, Planned Daily Minutes, Planned Days.</t>
        </is>
      </c>
    </row>
    <row r="3" ht="28" customHeight="1" s="20">
      <c r="A3" s="14" t="inlineStr">
        <is>
          <t>2. Each day, update Status, Time Spent (mins), Notes, and Key Output.</t>
        </is>
      </c>
    </row>
    <row r="4" ht="28" customHeight="1" s="20">
      <c r="A4" s="14" t="inlineStr">
        <is>
          <t>3. Keep the planned focus unless you intentionally change the day's task.</t>
        </is>
      </c>
    </row>
    <row r="5" ht="28" customHeight="1" s="20">
      <c r="A5" s="14" t="inlineStr">
        <is>
          <t>4. Status options: Not Started, In Progress, Completed, Blocked.</t>
        </is>
      </c>
    </row>
    <row r="6" ht="28" customHeight="1" s="20">
      <c r="A6" s="14" t="inlineStr">
        <is>
          <t>5. Summary metrics at the top update automatically.</t>
        </is>
      </c>
    </row>
    <row r="7" ht="28" customHeight="1" s="20">
      <c r="A7" s="14" t="inlineStr">
        <is>
          <t>6. Use the Weekly Summary section to review consistency and bottlenecks.</t>
        </is>
      </c>
    </row>
    <row r="8" ht="28" customHeight="1" s="20">
      <c r="A8" s="14" t="inlineStr">
        <is>
          <t>7. Recommended habit: at the end of each session, write one note on what to do next tomorrow.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2026-04-05T12:03:03Z</dcterms:created>
  <dcterms:modified xsi:type="dcterms:W3CDTF">2026-05-07T13:13:27Z</dcterms:modified>
  <cp:lastModifiedBy>Mitchel Chukwuemeka</cp:lastModifiedBy>
</cp:coreProperties>
</file>